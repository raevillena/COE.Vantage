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sers\Raymart\Downloads\"/>
    </mc:Choice>
  </mc:AlternateContent>
  <xr:revisionPtr revIDLastSave="0" documentId="13_ncr:1_{28C3D2EC-7D4B-41A8-BE2E-DE4F0E4AF39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ll First Sem SY25-26" sheetId="1" r:id="rId1"/>
    <sheet name="Student" sheetId="2" r:id="rId2"/>
    <sheet name="SCHED OTHER DEPARTSMENTS" sheetId="4" r:id="rId3"/>
  </sheets>
  <definedNames>
    <definedName name="_xlnm.Print_Area" localSheetId="0">'All First Sem SY25-26'!$A$1:$N$263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J29" i="1"/>
  <c r="C112" i="2"/>
  <c r="C102" i="2"/>
  <c r="C89" i="2"/>
  <c r="C76" i="2"/>
  <c r="I58" i="1"/>
  <c r="J58" i="1"/>
  <c r="J17" i="1"/>
  <c r="J87" i="1" l="1"/>
  <c r="L87" i="1" s="1"/>
  <c r="I87" i="1"/>
  <c r="L50" i="1"/>
  <c r="M127" i="1"/>
  <c r="J127" i="1"/>
  <c r="L127" i="1" s="1"/>
  <c r="I127" i="1"/>
  <c r="M117" i="1"/>
  <c r="J117" i="1"/>
  <c r="L117" i="1" s="1"/>
  <c r="M111" i="1"/>
  <c r="J111" i="1"/>
  <c r="L111" i="1" s="1"/>
  <c r="I111" i="1"/>
  <c r="M106" i="1"/>
  <c r="J106" i="1"/>
  <c r="L106" i="1" s="1"/>
  <c r="I106" i="1"/>
  <c r="M95" i="1"/>
  <c r="J95" i="1"/>
  <c r="L95" i="1" s="1"/>
  <c r="I95" i="1"/>
  <c r="M87" i="1"/>
  <c r="M80" i="1"/>
  <c r="J80" i="1"/>
  <c r="L80" i="1" s="1"/>
  <c r="I80" i="1"/>
  <c r="J69" i="1"/>
  <c r="L69" i="1" s="1"/>
  <c r="I69" i="1"/>
  <c r="M58" i="1"/>
  <c r="L58" i="1"/>
  <c r="M50" i="1"/>
  <c r="I50" i="1"/>
  <c r="M38" i="1"/>
  <c r="J38" i="1"/>
  <c r="L38" i="1" s="1"/>
  <c r="I38" i="1"/>
  <c r="M29" i="1"/>
  <c r="L29" i="1"/>
  <c r="I29" i="1"/>
  <c r="M17" i="1"/>
  <c r="K17" i="1"/>
  <c r="I17" i="1"/>
  <c r="L17" i="1" l="1"/>
  <c r="I117" i="1"/>
</calcChain>
</file>

<file path=xl/sharedStrings.xml><?xml version="1.0" encoding="utf-8"?>
<sst xmlns="http://schemas.openxmlformats.org/spreadsheetml/2006/main" count="1253" uniqueCount="458">
  <si>
    <t>MARIANO MARCOS STATE UNIVERSITY</t>
  </si>
  <si>
    <t>Document Code</t>
  </si>
  <si>
    <t>URO-FRM-012B</t>
  </si>
  <si>
    <t>Office of the University Registrar</t>
  </si>
  <si>
    <t>Revision No.</t>
  </si>
  <si>
    <t>SUMMARY OF FACULTY WORKLOAD</t>
  </si>
  <si>
    <t>Effectivity Date</t>
  </si>
  <si>
    <t>September 2019</t>
  </si>
  <si>
    <t>College:</t>
  </si>
  <si>
    <t>College of Engineering</t>
  </si>
  <si>
    <t>Semester:</t>
  </si>
  <si>
    <t>1st  sem 2025-2026</t>
  </si>
  <si>
    <t>Name of Faculty</t>
  </si>
  <si>
    <t>Course Code</t>
  </si>
  <si>
    <t>Course Title</t>
  </si>
  <si>
    <t>Course/Yr/Sec</t>
  </si>
  <si>
    <t>No. of studs.</t>
  </si>
  <si>
    <t>Time</t>
  </si>
  <si>
    <t>Day</t>
  </si>
  <si>
    <t>College/ Room</t>
  </si>
  <si>
    <t># of Units</t>
  </si>
  <si>
    <t>Actual Load</t>
  </si>
  <si>
    <t>Regular Load</t>
  </si>
  <si>
    <t>Over load</t>
  </si>
  <si>
    <t>OA load eqv.</t>
  </si>
  <si>
    <t>OTHER ASSIGNMENT(S) (OA)</t>
  </si>
  <si>
    <t>Permanent, VSL</t>
  </si>
  <si>
    <t>TTh</t>
  </si>
  <si>
    <t>Total Units</t>
  </si>
  <si>
    <t>M</t>
  </si>
  <si>
    <t>8-11</t>
  </si>
  <si>
    <t>WF</t>
  </si>
  <si>
    <t>W</t>
  </si>
  <si>
    <t>TCEP 1</t>
  </si>
  <si>
    <t>Th</t>
  </si>
  <si>
    <t>Engineering Calculus II</t>
  </si>
  <si>
    <t>F</t>
  </si>
  <si>
    <t>T</t>
  </si>
  <si>
    <t>MW</t>
  </si>
  <si>
    <t>Contractual, TL</t>
  </si>
  <si>
    <t>MT</t>
  </si>
  <si>
    <t>MF</t>
  </si>
  <si>
    <t>M/W</t>
  </si>
  <si>
    <t>W/T</t>
  </si>
  <si>
    <t>T/Th</t>
  </si>
  <si>
    <t>MWF</t>
  </si>
  <si>
    <t>TW</t>
  </si>
  <si>
    <t>COE 218</t>
  </si>
  <si>
    <t>S</t>
  </si>
  <si>
    <t>Undergraduate Thesis II</t>
  </si>
  <si>
    <t>Environmental Science</t>
  </si>
  <si>
    <t>DEPARTMENT OF COMPUTER ENGINEERING</t>
  </si>
  <si>
    <t>AGBAYANI, LOVINA SIECHRIST T.</t>
  </si>
  <si>
    <t>iHUB</t>
  </si>
  <si>
    <t>SO# 25-356 DCPE Chairperson, Eff July 28, 2025 to July 31, 2026</t>
  </si>
  <si>
    <t>COE 115</t>
  </si>
  <si>
    <t>CPE 200A</t>
  </si>
  <si>
    <t>CPE Design Project 1</t>
  </si>
  <si>
    <t>Reading Center</t>
  </si>
  <si>
    <t>Computer Fundamentals and Programming</t>
  </si>
  <si>
    <t>11:00-2:00</t>
  </si>
  <si>
    <t>CARIŇO, ENGELBERT T.</t>
  </si>
  <si>
    <t>BSCPE 3-A</t>
  </si>
  <si>
    <t>COE 216</t>
  </si>
  <si>
    <t>BSCPE 3-B</t>
  </si>
  <si>
    <t>COE 217</t>
  </si>
  <si>
    <t>COE 215</t>
  </si>
  <si>
    <t>AVR</t>
  </si>
  <si>
    <t xml:space="preserve">CPE Design Project </t>
  </si>
  <si>
    <t>BSCPE 4A</t>
  </si>
  <si>
    <t>1A</t>
  </si>
  <si>
    <t>COE-115</t>
  </si>
  <si>
    <t>CUDAPAS, MARK JUSTINE S.</t>
  </si>
  <si>
    <t>BSCPE 2-B</t>
  </si>
  <si>
    <t>S.O. No. 25-037, Project Staff, Implementation, User Training and Maintenance of the d-TRAIL App</t>
  </si>
  <si>
    <t>2:00 PM - 5:00 PM</t>
  </si>
  <si>
    <t>COE 116</t>
  </si>
  <si>
    <t>6P</t>
  </si>
  <si>
    <t>2:00-5:00 PM</t>
  </si>
  <si>
    <t>DAQUIOAG, AJAY A.</t>
  </si>
  <si>
    <t>8:00 AM - 11:00 AM</t>
  </si>
  <si>
    <t>BS CPE 4</t>
  </si>
  <si>
    <t>2P, 1A</t>
  </si>
  <si>
    <t>BSCPE 1-B</t>
  </si>
  <si>
    <t>ECLARIN, BOBBY A.</t>
  </si>
  <si>
    <t>Chief, Green Innovation (Eff. July 14, 2025 to July 31, 2026) SO#25-123</t>
  </si>
  <si>
    <t>BSCPE 2-C</t>
  </si>
  <si>
    <t>QS Stars Member Core Team</t>
  </si>
  <si>
    <t>S.O. #23-285 -Recomposition of the Philippine Quality Award (PQA) Core Team for 2024 Cycle</t>
  </si>
  <si>
    <t>1A. 2P</t>
  </si>
  <si>
    <t>FLORES, MARIFAYE</t>
  </si>
  <si>
    <t>SO No. 25- ______COE Student Affairs &amp; Services Coordinator (effective ________)</t>
  </si>
  <si>
    <t>BSCPE 1-A</t>
  </si>
  <si>
    <t>BSCPE 1-C</t>
  </si>
  <si>
    <t>1P</t>
  </si>
  <si>
    <t>GALUTIRA, EDWIN F.</t>
  </si>
  <si>
    <t>BSCPE 2-A</t>
  </si>
  <si>
    <t>SO # 25-512, Project Leader, Development of Smart Inland Pond
System and lnformation Tools for land-Based Aquatic Systems</t>
  </si>
  <si>
    <t>BSCPE 4-A</t>
  </si>
  <si>
    <t>BSCPE 4-B</t>
  </si>
  <si>
    <t>2A,  2P</t>
  </si>
  <si>
    <t>2:00-4:00 PM</t>
  </si>
  <si>
    <t xml:space="preserve">IBAÑEZ, VLADIMIR P. </t>
  </si>
  <si>
    <t>8:00-11:00</t>
  </si>
  <si>
    <t>Director, ITC (Eff. July 14, 2025 to July 31, 2026) SO#25-123</t>
  </si>
  <si>
    <t>2A</t>
  </si>
  <si>
    <t>MANZANAS, WILLEN MARK D</t>
  </si>
  <si>
    <t>Chief, Technical Services and Maintenance (Eff. July 14, 2025 to July 31, 2026) SO#25-123</t>
  </si>
  <si>
    <t>1A,7P</t>
  </si>
  <si>
    <t>MATIAS, MARY GRACE</t>
  </si>
  <si>
    <t>Thesis Proposal</t>
  </si>
  <si>
    <t>2A, 2P</t>
  </si>
  <si>
    <t>SANTOS, ALJAY B.</t>
  </si>
  <si>
    <t>1A,3P</t>
  </si>
  <si>
    <t xml:space="preserve"> 8:00 - 11:00</t>
  </si>
  <si>
    <t>COE Ihub</t>
  </si>
  <si>
    <t xml:space="preserve">TAMBOGON, DIANA ROSE A. </t>
  </si>
  <si>
    <t>1A, 2P</t>
  </si>
  <si>
    <t>VILLENA, REYMART O.</t>
  </si>
  <si>
    <t xml:space="preserve">S.O. NO. 25-055A        Researcher        Affiliated Renewable Energy Center
</t>
  </si>
  <si>
    <t xml:space="preserve">S.O. NO. 25-061A        Research Staff        National Bioenergy Research and Innovation Center
</t>
  </si>
  <si>
    <t xml:space="preserve">S.O. NO. 25-511        Study Leader        Development of an IoT-Integrated Embedded System for a Mini Bioethanol Pervaporator
</t>
  </si>
  <si>
    <t xml:space="preserve">S.O. NO. 25-511	Study Leader	Automated Detection of Rooftop Solar Panels in Satellite Maps Imagery Using Vision Transformers (ViTs) and Transfer Learning
</t>
  </si>
  <si>
    <t>NSTP2</t>
  </si>
  <si>
    <t>CWTS2/ROTC 2</t>
  </si>
  <si>
    <t>BSCPE 1C</t>
  </si>
  <si>
    <t>COE</t>
  </si>
  <si>
    <t>2:00-5:00</t>
  </si>
  <si>
    <t>ENGG 101</t>
  </si>
  <si>
    <t>Methods of Research</t>
  </si>
  <si>
    <t>Technopreneurship</t>
  </si>
  <si>
    <t>10:00 - 11:00</t>
  </si>
  <si>
    <t>11:00 - 12:00</t>
  </si>
  <si>
    <t>W/Th</t>
  </si>
  <si>
    <t>10:30 - 12:00</t>
  </si>
  <si>
    <t>10:00 - 12:00</t>
  </si>
  <si>
    <t>08:00 - 11:00</t>
  </si>
  <si>
    <t>Units</t>
  </si>
  <si>
    <t>Room/Bldg.</t>
  </si>
  <si>
    <t>Instructor</t>
  </si>
  <si>
    <t>Physics for Engineers</t>
  </si>
  <si>
    <t>MCMLorenzo</t>
  </si>
  <si>
    <t>Discrete Mathematics for CpE</t>
  </si>
  <si>
    <t>M/W/F</t>
  </si>
  <si>
    <t>MGMatias</t>
  </si>
  <si>
    <t>CPE 112</t>
  </si>
  <si>
    <t>Object Oriented Programming for CpE</t>
  </si>
  <si>
    <t>14:00 - 17:00</t>
  </si>
  <si>
    <t>MJCudapas / MGMatias</t>
  </si>
  <si>
    <t>Mathematics for the Modern World</t>
  </si>
  <si>
    <t>CAB 210</t>
  </si>
  <si>
    <t>NSTP 02</t>
  </si>
  <si>
    <t>CWTS 2/ROTC 2</t>
  </si>
  <si>
    <t>Sa</t>
  </si>
  <si>
    <t>ADaquioag</t>
  </si>
  <si>
    <t/>
  </si>
  <si>
    <t>09:30 - 11:00</t>
  </si>
  <si>
    <t>11:00 - 14:00</t>
  </si>
  <si>
    <t>MGMatias / ECarino</t>
  </si>
  <si>
    <t>ECarino</t>
  </si>
  <si>
    <t>BSCPE 1-B (2024 CURRICULUM)</t>
  </si>
  <si>
    <t>BSCPE 1-A (2024 CURRICULUM)</t>
  </si>
  <si>
    <t>09:00 - 10:30</t>
  </si>
  <si>
    <t>08:00 - 09:00 / 08:00 - 11:00</t>
  </si>
  <si>
    <t>BSCPE 1-C (2024 CURRICULUM)</t>
  </si>
  <si>
    <t>COE 216 / COE 218</t>
  </si>
  <si>
    <t>MJCudapas / ECarino</t>
  </si>
  <si>
    <t>ROVillena</t>
  </si>
  <si>
    <t>BSCPE 2-A (2024 CURRICULUM)</t>
  </si>
  <si>
    <t>Fundamentals of Electronic Circuits</t>
  </si>
  <si>
    <t>Purposive Communication</t>
  </si>
  <si>
    <t>Understanding the Self</t>
  </si>
  <si>
    <t>CAB 207</t>
  </si>
  <si>
    <t>PI 01</t>
  </si>
  <si>
    <t>Life and Works of Rizal</t>
  </si>
  <si>
    <t>Teatro Basement 4</t>
  </si>
  <si>
    <t>Numerical Methods</t>
  </si>
  <si>
    <t>SCLTambio</t>
  </si>
  <si>
    <t>CPE 114</t>
  </si>
  <si>
    <t>Software Design</t>
  </si>
  <si>
    <t>W/M/F</t>
  </si>
  <si>
    <t>BSCPE 2-B (2024 CURRICULUM)</t>
  </si>
  <si>
    <t>M/Th/T</t>
  </si>
  <si>
    <t>BAECLARIN</t>
  </si>
  <si>
    <t>COE 115 / COE 218</t>
  </si>
  <si>
    <t>EFGalutira</t>
  </si>
  <si>
    <t>BSCPE 3-A (2020 CURRICULUM)</t>
  </si>
  <si>
    <t>CPE 151</t>
  </si>
  <si>
    <t>Computer Networks and Security</t>
  </si>
  <si>
    <t>CPE 192</t>
  </si>
  <si>
    <t>CpE Laws and Professional Practice</t>
  </si>
  <si>
    <t>SOCSC 12</t>
  </si>
  <si>
    <t>The Entrepreneurial Mind</t>
  </si>
  <si>
    <t>CPE 170</t>
  </si>
  <si>
    <t>Basic Occupational Health and Safety</t>
  </si>
  <si>
    <t>MFlores</t>
  </si>
  <si>
    <t>CPE 163</t>
  </si>
  <si>
    <t>Microprocessors</t>
  </si>
  <si>
    <t>WMManzanas</t>
  </si>
  <si>
    <t>CPE 190</t>
  </si>
  <si>
    <t>CPE 133</t>
  </si>
  <si>
    <t>Advance Logic Circuits and Design</t>
  </si>
  <si>
    <t>CPE 117</t>
  </si>
  <si>
    <t>System Development II</t>
  </si>
  <si>
    <t>MJCudapas</t>
  </si>
  <si>
    <t>CPE 180</t>
  </si>
  <si>
    <t>Microelectronics I</t>
  </si>
  <si>
    <t>BSCPE 3-B (2020 CURRICULUM)</t>
  </si>
  <si>
    <t>LSTAgbayani</t>
  </si>
  <si>
    <t>COE 215 / COE 216</t>
  </si>
  <si>
    <t>VIbañez</t>
  </si>
  <si>
    <t>BSCPE 4-A (2020 CURRICULUM)</t>
  </si>
  <si>
    <t>CPE 200B</t>
  </si>
  <si>
    <t>CPE 199</t>
  </si>
  <si>
    <t>Seminars and Fieldtrips</t>
  </si>
  <si>
    <t>CPE 182</t>
  </si>
  <si>
    <t>Microelectronics III</t>
  </si>
  <si>
    <t>SOCSC 03</t>
  </si>
  <si>
    <t>The Contemporary World</t>
  </si>
  <si>
    <t>COE 216 / COE 215 / iHUB</t>
  </si>
  <si>
    <t>Technical Competency and Enchantment Program I</t>
  </si>
  <si>
    <t>8 - 10 / 1 - 2</t>
  </si>
  <si>
    <t>COMP01</t>
  </si>
  <si>
    <t>BSCHE 1-A</t>
  </si>
  <si>
    <t>CPE 111</t>
  </si>
  <si>
    <t>NSTP 2</t>
  </si>
  <si>
    <t>CWTS/ROTC 2</t>
  </si>
  <si>
    <t>9:30 AM - 11:00 AM</t>
  </si>
  <si>
    <t>1 - 2 / 2 - 4</t>
  </si>
  <si>
    <t>Computer Networks and Security LAB</t>
  </si>
  <si>
    <t>Computer Networks and Security LEC</t>
  </si>
  <si>
    <t>IT11</t>
  </si>
  <si>
    <t>BSEE A</t>
  </si>
  <si>
    <t>BSEE B</t>
  </si>
  <si>
    <t>BSEE C</t>
  </si>
  <si>
    <t>BSCPE 4</t>
  </si>
  <si>
    <t>11 - 2 / 8 - 9 / 8 - 10</t>
  </si>
  <si>
    <t>MTTh</t>
  </si>
  <si>
    <t>Software Design LEC</t>
  </si>
  <si>
    <t>Software Design LAB</t>
  </si>
  <si>
    <t>MTh</t>
  </si>
  <si>
    <t>*3 Panels</t>
  </si>
  <si>
    <t>11:00-2:00 PM</t>
  </si>
  <si>
    <t>TBA</t>
  </si>
  <si>
    <t>8:00-9:00</t>
  </si>
  <si>
    <t>COE116</t>
  </si>
  <si>
    <t>4:00-5:00 PM</t>
  </si>
  <si>
    <t>8:00-9:30</t>
  </si>
  <si>
    <t>11:00-12:00</t>
  </si>
  <si>
    <t>TTH</t>
  </si>
  <si>
    <t>Living in an IT Era</t>
  </si>
  <si>
    <t>10:00-12:00</t>
  </si>
  <si>
    <t>*study leave</t>
  </si>
  <si>
    <t>Object Oriented Programming</t>
  </si>
  <si>
    <t>BSECE</t>
  </si>
  <si>
    <t>COE 217/218</t>
  </si>
  <si>
    <t>BS CPE 1B</t>
  </si>
  <si>
    <t>CAD Rm 1</t>
  </si>
  <si>
    <t>4:00-5:00/3:00-5:00</t>
  </si>
  <si>
    <t>1:00-2:00</t>
  </si>
  <si>
    <t>COE217</t>
  </si>
  <si>
    <t>CPE130</t>
  </si>
  <si>
    <t xml:space="preserve"> 1:00 - 2:00 / 8:00-10:00</t>
  </si>
  <si>
    <t>9:00-10:30</t>
  </si>
  <si>
    <t>9:00 - 10:30</t>
  </si>
  <si>
    <t>2:00-4:00/2:00-3:00</t>
  </si>
  <si>
    <t>COE 216/215</t>
  </si>
  <si>
    <t>8:00 - 9:00</t>
  </si>
  <si>
    <t>8:00 - 11:00</t>
  </si>
  <si>
    <t>BSEE 1A</t>
  </si>
  <si>
    <t>8:00 AM - 9:00 AM</t>
  </si>
  <si>
    <t>2:00-3:30</t>
  </si>
  <si>
    <t>BSEE 1C</t>
  </si>
  <si>
    <t>BSEE 1B</t>
  </si>
  <si>
    <t>218/217</t>
  </si>
  <si>
    <t>COE115</t>
  </si>
  <si>
    <t>11:00 AM - 2:00 PM</t>
  </si>
  <si>
    <t>1:00 PM - 2:00 PM/ 8:00-9:00</t>
  </si>
  <si>
    <t>10:00-12:00/11:00-12:00</t>
  </si>
  <si>
    <t>WTh</t>
  </si>
  <si>
    <t>COE 215/216</t>
  </si>
  <si>
    <t>2:00 AM - 5:00 PM</t>
  </si>
  <si>
    <t>2:00-3:00</t>
  </si>
  <si>
    <t>8:00 AM - 9:30 AM</t>
  </si>
  <si>
    <t>2:00 - 5:00</t>
  </si>
  <si>
    <t>JAAsuncion</t>
  </si>
  <si>
    <t>ECE 140 LEC</t>
  </si>
  <si>
    <t>ECE 140 LAB</t>
  </si>
  <si>
    <t xml:space="preserve"> 2:00 - 5:00</t>
  </si>
  <si>
    <t xml:space="preserve">11:00 - 12:00 </t>
  </si>
  <si>
    <t xml:space="preserve">COE 218 </t>
  </si>
  <si>
    <t>SMART WIRELESS</t>
  </si>
  <si>
    <t>BSCPE 1A</t>
  </si>
  <si>
    <t>BSCPE 1B</t>
  </si>
  <si>
    <t>GJJSaguiguit</t>
  </si>
  <si>
    <t xml:space="preserve"> AERuiz</t>
  </si>
  <si>
    <t>AERuiz</t>
  </si>
  <si>
    <t xml:space="preserve">08:00 - 11:00 </t>
  </si>
  <si>
    <t>1:00 -2:30</t>
  </si>
  <si>
    <t>W/F</t>
  </si>
  <si>
    <t xml:space="preserve">COE 216 / COE 217 </t>
  </si>
  <si>
    <t>COE 226</t>
  </si>
  <si>
    <t>COE216</t>
  </si>
  <si>
    <t>CPE111</t>
  </si>
  <si>
    <t>PHY10</t>
  </si>
  <si>
    <t>MATH35</t>
  </si>
  <si>
    <t>CPE112</t>
  </si>
  <si>
    <t>Object Oriented Programming for CPE</t>
  </si>
  <si>
    <t>CHE10</t>
  </si>
  <si>
    <t>Chemistry for Engineers</t>
  </si>
  <si>
    <t>MATH01</t>
  </si>
  <si>
    <t>PATHFit2</t>
  </si>
  <si>
    <t>Physical Activities Towards Health and Fitness 2</t>
  </si>
  <si>
    <t>NSTP02</t>
  </si>
  <si>
    <t>CWTS 1/ROTC 1</t>
  </si>
  <si>
    <t>CAB 106 / CAS 105</t>
  </si>
  <si>
    <t>16:00 - 17:00 / 15:00 - 17:00</t>
  </si>
  <si>
    <t>T/M</t>
  </si>
  <si>
    <t>COE 116 / COE 115</t>
  </si>
  <si>
    <t>08:00 - 09:00 / 14:00 - 17:00</t>
  </si>
  <si>
    <t>CAB 106 / CAS 216</t>
  </si>
  <si>
    <t>COE 217 / COE 216</t>
  </si>
  <si>
    <t>10:00 - 12:00 / 11:00 - 12:00</t>
  </si>
  <si>
    <t>F/M</t>
  </si>
  <si>
    <t>COE 115 / COE 116</t>
  </si>
  <si>
    <t>CAB 104</t>
  </si>
  <si>
    <t>08:00 - 10:00</t>
  </si>
  <si>
    <t>Teatro Building 1</t>
  </si>
  <si>
    <t>CAB 105</t>
  </si>
  <si>
    <t>09:00 - 11:00</t>
  </si>
  <si>
    <t>W/T/Th</t>
  </si>
  <si>
    <t>Teatro Building 4</t>
  </si>
  <si>
    <t>CPE137</t>
  </si>
  <si>
    <t>CPE114</t>
  </si>
  <si>
    <t>COMM01</t>
  </si>
  <si>
    <t>ECE140</t>
  </si>
  <si>
    <t>SOCSC02</t>
  </si>
  <si>
    <t>NATSC13</t>
  </si>
  <si>
    <t>PATHFit4</t>
  </si>
  <si>
    <t>Physical Activities Towards Health and Fitness 4</t>
  </si>
  <si>
    <t>14:00 - 17:00 / 08:00 - 09:30</t>
  </si>
  <si>
    <t>COE 116 / COE 217 / COE 218</t>
  </si>
  <si>
    <t>COE 218 / Smart Wireless</t>
  </si>
  <si>
    <t>CAB 209</t>
  </si>
  <si>
    <t>08:00 - 11:00 / 08:00 - 10:30 / 08:00 - 09:00</t>
  </si>
  <si>
    <t>iHUB / COE 115 / COE 216</t>
  </si>
  <si>
    <t>CAB 208</t>
  </si>
  <si>
    <t>F/W</t>
  </si>
  <si>
    <t>Smart Wireless / COE 217 / COE 216</t>
  </si>
  <si>
    <t>COE 215 / COE 217 / COE 216</t>
  </si>
  <si>
    <t>CAB 108</t>
  </si>
  <si>
    <t>09:00 - 10:30 / 08:00 - 11:00</t>
  </si>
  <si>
    <t>COE 216 / COE 226</t>
  </si>
  <si>
    <t>07:30 - 09:00</t>
  </si>
  <si>
    <t>Computer Networks  and Security</t>
  </si>
  <si>
    <t>CPE180</t>
  </si>
  <si>
    <t>10:30 - 12:00 / 09:00 - 10:30 / 08:00 - 11:00</t>
  </si>
  <si>
    <t>T/Th/W</t>
  </si>
  <si>
    <t>COE 116 / COE 215 / COE 216</t>
  </si>
  <si>
    <t>COE 218 / COE 215</t>
  </si>
  <si>
    <t>COE 115 / COE 218 / COE 217</t>
  </si>
  <si>
    <t>T/W/F</t>
  </si>
  <si>
    <t>COE 215 / COE 115 / COE 216</t>
  </si>
  <si>
    <t>Technical Competency</t>
  </si>
  <si>
    <t>BSCPE 4-B (2020 CURRICULUM)</t>
  </si>
  <si>
    <t>BSCPE 2-C (2024 CURRICULUM)</t>
  </si>
  <si>
    <t>09:00 - 12:00</t>
  </si>
  <si>
    <t>11:00 - 12:00 / 11:00 - 14:00</t>
  </si>
  <si>
    <t>Th/T/M</t>
  </si>
  <si>
    <t>COE 218 / iHUB / COE 217</t>
  </si>
  <si>
    <t>09:00 - 10:00 / 11:00 - 2:00</t>
  </si>
  <si>
    <t>Je'maiah G. Rabena</t>
  </si>
  <si>
    <t>Je'maiah G. Rabena/Edzer Roger D. Antolin</t>
  </si>
  <si>
    <t>MWF/T</t>
  </si>
  <si>
    <t>Jesza Mei F. Ganiron</t>
  </si>
  <si>
    <t>Neslie A. Espiritu</t>
  </si>
  <si>
    <t>Theatro Basement 2</t>
  </si>
  <si>
    <t>Liliwa A. Olalo</t>
  </si>
  <si>
    <t>MWF/W</t>
  </si>
  <si>
    <t>02:00-03:00</t>
  </si>
  <si>
    <t xml:space="preserve">Liliwa A. Olalo </t>
  </si>
  <si>
    <t>1:00 - 2:00 / 2:00 - 5:00</t>
  </si>
  <si>
    <t>CAB 104 / CAS 105</t>
  </si>
  <si>
    <t>Angelica T. Baral</t>
  </si>
  <si>
    <t>MWF/Th</t>
  </si>
  <si>
    <t>3:00 - 4:00/2:00-5:00</t>
  </si>
  <si>
    <t>CAB 104 / CAS 216</t>
  </si>
  <si>
    <t>Ralph Lawrence R. Queddeng</t>
  </si>
  <si>
    <t xml:space="preserve">07:30 - 09:00 </t>
  </si>
  <si>
    <t xml:space="preserve"> 08:00 - 09:00/2:00-5:00</t>
  </si>
  <si>
    <t>11:00 - 12:30/2:00 - 5:00</t>
  </si>
  <si>
    <t>TTh/W</t>
  </si>
  <si>
    <t xml:space="preserve"> CAB 103/CAS 219 </t>
  </si>
  <si>
    <t>Rachelle M. Lacuesta</t>
  </si>
  <si>
    <t>1:00 - 2:00</t>
  </si>
  <si>
    <t>Raymond Paul L. Eclarin</t>
  </si>
  <si>
    <t>Derick Sam C. Cadiente</t>
  </si>
  <si>
    <t>3:00 - 5:00</t>
  </si>
  <si>
    <t>Joyce  C. Castillo</t>
  </si>
  <si>
    <t xml:space="preserve">Jhoanna Marie A. Gacula </t>
  </si>
  <si>
    <t>Desiree Kyle L. Sabado</t>
  </si>
  <si>
    <t>Reymark A. Tumamao</t>
  </si>
  <si>
    <t>2:30 - 4:00</t>
  </si>
  <si>
    <t>Angelo A. Lamsen</t>
  </si>
  <si>
    <t>1:00 - 2:30</t>
  </si>
  <si>
    <t>Victoria A. Morales</t>
  </si>
  <si>
    <t>Ronel O. Ganotisi</t>
  </si>
  <si>
    <t>Berlin Zion Jay T. Palacay</t>
  </si>
  <si>
    <t>3:00-4:00</t>
  </si>
  <si>
    <t>Swimming Pool</t>
  </si>
  <si>
    <t xml:space="preserve">Joyce C. Castillo </t>
  </si>
  <si>
    <t>Gualberto C. Tampol, Jr.</t>
  </si>
  <si>
    <t>Maria Bernadette M. Macadaeg</t>
  </si>
  <si>
    <t>Janna Marie B. Quinto</t>
  </si>
  <si>
    <t>CC 1</t>
  </si>
  <si>
    <t>3:00-5:00</t>
  </si>
  <si>
    <t>Suzeth Nicole M. Ruguian</t>
  </si>
  <si>
    <t xml:space="preserve">Marjorie P. Garcia </t>
  </si>
  <si>
    <t>Lester R. Saldua</t>
  </si>
  <si>
    <t>Janlee J. Sardeng</t>
  </si>
  <si>
    <t>03:00-4:00</t>
  </si>
  <si>
    <t>10:30-12:00</t>
  </si>
  <si>
    <t>COE 126</t>
  </si>
  <si>
    <t>Mflores</t>
  </si>
  <si>
    <t>BSABE 1A</t>
  </si>
  <si>
    <t>Adaquioag</t>
  </si>
  <si>
    <t>LSAgbayani</t>
  </si>
  <si>
    <t>Egalutira</t>
  </si>
  <si>
    <t>Ecarino</t>
  </si>
  <si>
    <t>Jcudapas</t>
  </si>
  <si>
    <t>BSME 3A</t>
  </si>
  <si>
    <t>2:30-4:00</t>
  </si>
  <si>
    <t>COE214</t>
  </si>
  <si>
    <t>BSME 3B</t>
  </si>
  <si>
    <t>COE 214</t>
  </si>
  <si>
    <t>CAD ROOM 1</t>
  </si>
  <si>
    <t>215/216</t>
  </si>
  <si>
    <t>216/215</t>
  </si>
  <si>
    <t>TBA/215</t>
  </si>
  <si>
    <t>2:00 - 5:00 / 08:00 - 09:30</t>
  </si>
  <si>
    <t>08:00 - 11:00 / 1:00 - 2:30</t>
  </si>
  <si>
    <t>COE 216 / COE215 / COE 116</t>
  </si>
  <si>
    <t>MF/W</t>
  </si>
  <si>
    <t xml:space="preserve">1:00 - 2:00/ 08:00 - 09:30 / 11:00 - 2:00 </t>
  </si>
  <si>
    <t>M/F/W</t>
  </si>
  <si>
    <t>2:00 - 5:00 PM</t>
  </si>
  <si>
    <t>07:30 - 09:00 AM</t>
  </si>
  <si>
    <t>2:00 - 3:00 PM</t>
  </si>
  <si>
    <t>2:00 - 4:00 PM</t>
  </si>
  <si>
    <t>2:00 - 3:00 / 2:00 - 4:00</t>
  </si>
  <si>
    <t xml:space="preserve"> 09:00 - 10:30 / 08:00 - 11:00</t>
  </si>
  <si>
    <t>10:30 - 12:00 / 11:00 - 2:00 / 08:00 - 09:00</t>
  </si>
  <si>
    <t>11:00 - 2:00</t>
  </si>
  <si>
    <t>4:00 - 5:00</t>
  </si>
  <si>
    <t xml:space="preserve">/ 2:00 - 4:00/ 1:00 - 3:00 </t>
  </si>
  <si>
    <t>MW/F</t>
  </si>
  <si>
    <t xml:space="preserve"> COE 217 / COE 215/iHUB </t>
  </si>
  <si>
    <t>11:00 - 12:00 / 2:00 - 5:00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</si>
</sst>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-d"/>
    <numFmt numFmtId="165" formatCode="0.0"/>
  </numFmts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11"/>
      <name val="Calibri"/>
      <family val="2"/>
    </font>
    <font>
      <b/>
      <sz val="8"/>
      <color theme="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</font>
    <font>
      <b/>
      <u/>
      <sz val="8"/>
      <color theme="1"/>
      <name val="Calibri"/>
      <family val="2"/>
    </font>
    <font>
      <b/>
      <u/>
      <sz val="8"/>
      <color theme="1"/>
      <name val="Calibri"/>
      <family val="2"/>
    </font>
    <font>
      <sz val="8"/>
      <color rgb="FF020817"/>
      <name val="Calibri"/>
      <family val="2"/>
    </font>
    <font>
      <b/>
      <u/>
      <sz val="8"/>
      <color theme="1"/>
      <name val="Calibri"/>
      <family val="2"/>
    </font>
    <font>
      <b/>
      <u/>
      <sz val="8"/>
      <color theme="1"/>
      <name val="Calibri"/>
      <family val="2"/>
    </font>
    <font>
      <b/>
      <sz val="8"/>
      <color rgb="FF1F1F1F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u/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8"/>
      <color theme="1"/>
      <name val="Calibri"/>
      <family val="2"/>
    </font>
    <font>
      <u/>
      <sz val="8"/>
      <color theme="1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20817"/>
      <name val="Calibri"/>
      <family val="2"/>
    </font>
    <font>
      <sz val="8"/>
      <name val="Calibri"/>
    </font>
    <font>
      <b/>
      <u/>
      <sz val="9"/>
      <color theme="1"/>
      <name val="Calibri"/>
      <family val="2"/>
    </font>
    <font>
      <b/>
      <sz val="9"/>
      <color theme="1"/>
      <name val="Calibri"/>
      <family val="2"/>
    </font>
    <font>
      <u/>
      <sz val="9"/>
      <color theme="1"/>
      <name val="Calibri"/>
      <family val="2"/>
    </font>
    <font>
      <sz val="8"/>
      <name val="Calibri"/>
      <family val="2"/>
      <scheme val="minor"/>
    </font>
    <font>
      <sz val="9"/>
      <color rgb="FF020817"/>
      <name val="Calibri"/>
      <family val="2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4" fillId="0" borderId="13"/>
    <xf numFmtId="0" fontId="1" fillId="0" borderId="13"/>
    <xf numFmtId="0" fontId="35" fillId="0" borderId="13"/>
  </cellStyleXfs>
  <cellXfs count="379">
    <xf numFmtId="0" fontId="0" fillId="0" borderId="0" xfId="0"/>
    <xf numFmtId="0" fontId="3" fillId="2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7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49" fontId="3" fillId="2" borderId="5" xfId="0" applyNumberFormat="1" applyFont="1" applyFill="1" applyBorder="1" applyAlignment="1">
      <alignment horizontal="left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0" fontId="5" fillId="2" borderId="7" xfId="0" applyFont="1" applyFill="1" applyBorder="1"/>
    <xf numFmtId="0" fontId="5" fillId="2" borderId="7" xfId="0" applyFont="1" applyFill="1" applyBorder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/>
    </xf>
    <xf numFmtId="49" fontId="3" fillId="0" borderId="7" xfId="0" applyNumberFormat="1" applyFont="1" applyBorder="1"/>
    <xf numFmtId="0" fontId="3" fillId="0" borderId="0" xfId="0" applyFont="1" applyAlignment="1">
      <alignment wrapText="1"/>
    </xf>
    <xf numFmtId="0" fontId="6" fillId="0" borderId="7" xfId="0" applyFont="1" applyBorder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/>
    </xf>
    <xf numFmtId="0" fontId="8" fillId="0" borderId="7" xfId="0" applyFont="1" applyBorder="1" applyAlignment="1">
      <alignment wrapText="1"/>
    </xf>
    <xf numFmtId="49" fontId="3" fillId="0" borderId="7" xfId="0" applyNumberFormat="1" applyFont="1" applyBorder="1" applyAlignment="1">
      <alignment horizontal="center"/>
    </xf>
    <xf numFmtId="2" fontId="3" fillId="5" borderId="7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2" fontId="3" fillId="5" borderId="7" xfId="0" applyNumberFormat="1" applyFont="1" applyFill="1" applyBorder="1" applyAlignment="1">
      <alignment horizontal="center" vertical="top" wrapText="1"/>
    </xf>
    <xf numFmtId="0" fontId="3" fillId="0" borderId="7" xfId="0" applyFont="1" applyBorder="1" applyAlignment="1">
      <alignment vertical="center"/>
    </xf>
    <xf numFmtId="0" fontId="5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49" fontId="3" fillId="0" borderId="7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7" xfId="0" applyFont="1" applyBorder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7" fillId="0" borderId="7" xfId="0" applyFont="1" applyBorder="1" applyAlignment="1">
      <alignment wrapText="1"/>
    </xf>
    <xf numFmtId="0" fontId="7" fillId="0" borderId="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2" fontId="3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vertical="top"/>
    </xf>
    <xf numFmtId="2" fontId="3" fillId="0" borderId="7" xfId="0" applyNumberFormat="1" applyFont="1" applyBorder="1"/>
    <xf numFmtId="0" fontId="5" fillId="0" borderId="7" xfId="0" applyFont="1" applyBorder="1" applyAlignment="1">
      <alignment horizontal="right" wrapText="1"/>
    </xf>
    <xf numFmtId="0" fontId="5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2" fontId="11" fillId="4" borderId="7" xfId="0" applyNumberFormat="1" applyFont="1" applyFill="1" applyBorder="1" applyAlignment="1">
      <alignment horizontal="center" wrapText="1"/>
    </xf>
    <xf numFmtId="2" fontId="12" fillId="4" borderId="7" xfId="0" applyNumberFormat="1" applyFont="1" applyFill="1" applyBorder="1" applyAlignment="1">
      <alignment horizontal="center" wrapText="1"/>
    </xf>
    <xf numFmtId="0" fontId="6" fillId="0" borderId="0" xfId="0" applyFont="1"/>
    <xf numFmtId="49" fontId="13" fillId="5" borderId="7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2" fontId="14" fillId="5" borderId="7" xfId="0" applyNumberFormat="1" applyFont="1" applyFill="1" applyBorder="1" applyAlignment="1">
      <alignment horizontal="center" wrapText="1"/>
    </xf>
    <xf numFmtId="2" fontId="15" fillId="5" borderId="7" xfId="0" applyNumberFormat="1" applyFont="1" applyFill="1" applyBorder="1" applyAlignment="1">
      <alignment horizontal="center" wrapText="1"/>
    </xf>
    <xf numFmtId="0" fontId="5" fillId="0" borderId="7" xfId="0" applyFont="1" applyBorder="1" applyAlignment="1">
      <alignment vertical="center"/>
    </xf>
    <xf numFmtId="0" fontId="3" fillId="0" borderId="7" xfId="0" applyFont="1" applyBorder="1" applyAlignment="1">
      <alignment vertical="top" wrapText="1"/>
    </xf>
    <xf numFmtId="0" fontId="5" fillId="0" borderId="0" xfId="0" applyFont="1"/>
    <xf numFmtId="0" fontId="16" fillId="5" borderId="7" xfId="0" applyFont="1" applyFill="1" applyBorder="1"/>
    <xf numFmtId="2" fontId="3" fillId="0" borderId="7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wrapText="1"/>
    </xf>
    <xf numFmtId="2" fontId="3" fillId="2" borderId="7" xfId="0" applyNumberFormat="1" applyFont="1" applyFill="1" applyBorder="1" applyAlignment="1">
      <alignment horizontal="center" wrapText="1"/>
    </xf>
    <xf numFmtId="2" fontId="19" fillId="2" borderId="7" xfId="0" applyNumberFormat="1" applyFont="1" applyFill="1" applyBorder="1" applyAlignment="1">
      <alignment horizontal="center" wrapText="1"/>
    </xf>
    <xf numFmtId="0" fontId="3" fillId="0" borderId="7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49" fontId="17" fillId="0" borderId="7" xfId="0" applyNumberFormat="1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2" fontId="10" fillId="0" borderId="7" xfId="0" applyNumberFormat="1" applyFont="1" applyBorder="1"/>
    <xf numFmtId="2" fontId="10" fillId="5" borderId="7" xfId="0" applyNumberFormat="1" applyFont="1" applyFill="1" applyBorder="1" applyAlignment="1">
      <alignment vertical="top"/>
    </xf>
    <xf numFmtId="0" fontId="10" fillId="0" borderId="0" xfId="0" applyFont="1"/>
    <xf numFmtId="0" fontId="9" fillId="0" borderId="7" xfId="0" applyFont="1" applyBorder="1" applyAlignment="1">
      <alignment wrapText="1"/>
    </xf>
    <xf numFmtId="49" fontId="5" fillId="0" borderId="7" xfId="0" applyNumberFormat="1" applyFont="1" applyBorder="1" applyAlignment="1">
      <alignment wrapText="1"/>
    </xf>
    <xf numFmtId="49" fontId="3" fillId="0" borderId="7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2" fillId="0" borderId="7" xfId="0" applyFont="1" applyBorder="1"/>
    <xf numFmtId="0" fontId="23" fillId="0" borderId="7" xfId="0" applyFont="1" applyBorder="1"/>
    <xf numFmtId="0" fontId="3" fillId="2" borderId="14" xfId="0" applyFont="1" applyFill="1" applyBorder="1"/>
    <xf numFmtId="0" fontId="3" fillId="2" borderId="4" xfId="0" applyFont="1" applyFill="1" applyBorder="1"/>
    <xf numFmtId="0" fontId="25" fillId="0" borderId="20" xfId="1" applyFont="1" applyBorder="1" applyAlignment="1">
      <alignment horizontal="center" vertical="center" wrapText="1"/>
    </xf>
    <xf numFmtId="0" fontId="24" fillId="0" borderId="7" xfId="0" applyFont="1" applyBorder="1"/>
    <xf numFmtId="0" fontId="25" fillId="0" borderId="7" xfId="0" applyFont="1" applyBorder="1"/>
    <xf numFmtId="0" fontId="25" fillId="0" borderId="7" xfId="0" applyFont="1" applyBorder="1" applyAlignment="1">
      <alignment horizontal="center" vertical="center"/>
    </xf>
    <xf numFmtId="0" fontId="24" fillId="0" borderId="19" xfId="0" applyFont="1" applyBorder="1"/>
    <xf numFmtId="0" fontId="24" fillId="0" borderId="20" xfId="0" applyFont="1" applyBorder="1"/>
    <xf numFmtId="0" fontId="0" fillId="0" borderId="20" xfId="0" applyBorder="1"/>
    <xf numFmtId="0" fontId="24" fillId="0" borderId="7" xfId="0" applyFont="1" applyBorder="1" applyAlignment="1">
      <alignment horizontal="center"/>
    </xf>
    <xf numFmtId="0" fontId="25" fillId="0" borderId="20" xfId="0" applyFont="1" applyBorder="1"/>
    <xf numFmtId="0" fontId="25" fillId="0" borderId="20" xfId="0" applyFont="1" applyBorder="1" applyAlignment="1">
      <alignment horizontal="center" vertical="center"/>
    </xf>
    <xf numFmtId="0" fontId="24" fillId="0" borderId="13" xfId="0" applyFont="1" applyBorder="1"/>
    <xf numFmtId="0" fontId="25" fillId="0" borderId="13" xfId="0" applyFont="1" applyBorder="1"/>
    <xf numFmtId="0" fontId="25" fillId="0" borderId="13" xfId="0" applyFont="1" applyBorder="1" applyAlignment="1">
      <alignment horizontal="center" vertical="center"/>
    </xf>
    <xf numFmtId="0" fontId="0" fillId="0" borderId="13" xfId="0" applyBorder="1"/>
    <xf numFmtId="0" fontId="27" fillId="0" borderId="20" xfId="0" applyFont="1" applyBorder="1"/>
    <xf numFmtId="0" fontId="27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19" xfId="0" applyFont="1" applyBorder="1" applyAlignment="1">
      <alignment wrapText="1"/>
    </xf>
    <xf numFmtId="0" fontId="3" fillId="0" borderId="19" xfId="0" applyFont="1" applyBorder="1"/>
    <xf numFmtId="2" fontId="3" fillId="0" borderId="14" xfId="0" applyNumberFormat="1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 applyAlignment="1">
      <alignment wrapText="1"/>
    </xf>
    <xf numFmtId="49" fontId="3" fillId="0" borderId="1" xfId="0" applyNumberFormat="1" applyFont="1" applyBorder="1"/>
    <xf numFmtId="0" fontId="3" fillId="0" borderId="15" xfId="0" applyFont="1" applyBorder="1"/>
    <xf numFmtId="0" fontId="3" fillId="0" borderId="15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18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vertical="center" wrapText="1"/>
    </xf>
    <xf numFmtId="0" fontId="5" fillId="0" borderId="19" xfId="0" applyFont="1" applyBorder="1" applyAlignment="1">
      <alignment horizontal="right" wrapText="1"/>
    </xf>
    <xf numFmtId="0" fontId="3" fillId="0" borderId="4" xfId="0" applyFont="1" applyBorder="1" applyAlignment="1">
      <alignment horizontal="left" wrapText="1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0" fontId="3" fillId="0" borderId="20" xfId="0" applyFont="1" applyBorder="1"/>
    <xf numFmtId="0" fontId="3" fillId="0" borderId="17" xfId="0" applyFont="1" applyBorder="1"/>
    <xf numFmtId="0" fontId="3" fillId="0" borderId="14" xfId="0" applyFont="1" applyBorder="1"/>
    <xf numFmtId="0" fontId="18" fillId="0" borderId="20" xfId="0" applyFont="1" applyBorder="1" applyAlignment="1">
      <alignment vertical="center" wrapText="1"/>
    </xf>
    <xf numFmtId="0" fontId="18" fillId="0" borderId="33" xfId="0" applyFont="1" applyBorder="1" applyAlignment="1">
      <alignment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49" fontId="18" fillId="0" borderId="20" xfId="0" applyNumberFormat="1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7" xfId="0" applyFont="1" applyBorder="1"/>
    <xf numFmtId="0" fontId="18" fillId="0" borderId="7" xfId="0" applyFont="1" applyBorder="1" applyAlignment="1">
      <alignment horizontal="center" vertical="center"/>
    </xf>
    <xf numFmtId="49" fontId="28" fillId="5" borderId="7" xfId="0" applyNumberFormat="1" applyFont="1" applyFill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49" fontId="18" fillId="0" borderId="2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wrapText="1"/>
    </xf>
    <xf numFmtId="16" fontId="17" fillId="0" borderId="20" xfId="0" applyNumberFormat="1" applyFont="1" applyBorder="1" applyAlignment="1">
      <alignment horizontal="center" vertical="center" wrapText="1"/>
    </xf>
    <xf numFmtId="16" fontId="18" fillId="0" borderId="20" xfId="0" applyNumberFormat="1" applyFont="1" applyBorder="1" applyAlignment="1">
      <alignment horizontal="center" vertical="center" wrapText="1"/>
    </xf>
    <xf numFmtId="2" fontId="14" fillId="5" borderId="15" xfId="0" applyNumberFormat="1" applyFont="1" applyFill="1" applyBorder="1" applyAlignment="1">
      <alignment horizontal="center" wrapText="1"/>
    </xf>
    <xf numFmtId="165" fontId="26" fillId="0" borderId="20" xfId="0" applyNumberFormat="1" applyFont="1" applyBorder="1" applyAlignment="1">
      <alignment horizontal="center"/>
    </xf>
    <xf numFmtId="0" fontId="2" fillId="0" borderId="20" xfId="0" applyFont="1" applyBorder="1"/>
    <xf numFmtId="2" fontId="3" fillId="0" borderId="14" xfId="0" applyNumberFormat="1" applyFont="1" applyBorder="1"/>
    <xf numFmtId="2" fontId="3" fillId="0" borderId="1" xfId="0" applyNumberFormat="1" applyFont="1" applyBorder="1" applyAlignment="1">
      <alignment horizontal="center"/>
    </xf>
    <xf numFmtId="2" fontId="12" fillId="4" borderId="15" xfId="0" applyNumberFormat="1" applyFont="1" applyFill="1" applyBorder="1" applyAlignment="1">
      <alignment horizontal="center" wrapText="1"/>
    </xf>
    <xf numFmtId="0" fontId="3" fillId="0" borderId="15" xfId="0" applyFont="1" applyBorder="1" applyAlignment="1">
      <alignment vertical="center"/>
    </xf>
    <xf numFmtId="2" fontId="3" fillId="5" borderId="14" xfId="0" applyNumberFormat="1" applyFont="1" applyFill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15" fillId="5" borderId="15" xfId="0" applyNumberFormat="1" applyFont="1" applyFill="1" applyBorder="1" applyAlignment="1">
      <alignment horizontal="center" wrapText="1"/>
    </xf>
    <xf numFmtId="2" fontId="3" fillId="5" borderId="20" xfId="0" applyNumberFormat="1" applyFont="1" applyFill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wrapText="1"/>
    </xf>
    <xf numFmtId="49" fontId="3" fillId="0" borderId="15" xfId="0" applyNumberFormat="1" applyFont="1" applyBorder="1" applyAlignment="1">
      <alignment horizontal="center"/>
    </xf>
    <xf numFmtId="0" fontId="10" fillId="0" borderId="19" xfId="0" applyFont="1" applyBorder="1"/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left" wrapText="1"/>
    </xf>
    <xf numFmtId="49" fontId="3" fillId="0" borderId="16" xfId="0" applyNumberFormat="1" applyFont="1" applyBorder="1" applyAlignment="1">
      <alignment horizontal="center"/>
    </xf>
    <xf numFmtId="0" fontId="3" fillId="0" borderId="20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20" fillId="0" borderId="20" xfId="0" applyFont="1" applyBorder="1"/>
    <xf numFmtId="0" fontId="3" fillId="0" borderId="14" xfId="0" applyFont="1" applyBorder="1" applyAlignment="1">
      <alignment horizontal="center"/>
    </xf>
    <xf numFmtId="2" fontId="12" fillId="4" borderId="1" xfId="0" applyNumberFormat="1" applyFont="1" applyFill="1" applyBorder="1" applyAlignment="1">
      <alignment horizontal="center" wrapText="1"/>
    </xf>
    <xf numFmtId="2" fontId="11" fillId="4" borderId="1" xfId="0" applyNumberFormat="1" applyFont="1" applyFill="1" applyBorder="1" applyAlignment="1">
      <alignment horizontal="center" wrapText="1"/>
    </xf>
    <xf numFmtId="0" fontId="5" fillId="0" borderId="19" xfId="0" applyFont="1" applyBorder="1"/>
    <xf numFmtId="0" fontId="3" fillId="0" borderId="29" xfId="0" applyFont="1" applyBorder="1" applyAlignment="1">
      <alignment horizontal="center" vertical="center" wrapText="1"/>
    </xf>
    <xf numFmtId="2" fontId="27" fillId="0" borderId="20" xfId="0" applyNumberFormat="1" applyFont="1" applyBorder="1" applyAlignment="1">
      <alignment horizontal="center"/>
    </xf>
    <xf numFmtId="2" fontId="17" fillId="0" borderId="14" xfId="0" applyNumberFormat="1" applyFont="1" applyBorder="1" applyAlignment="1">
      <alignment horizontal="center"/>
    </xf>
    <xf numFmtId="2" fontId="17" fillId="0" borderId="20" xfId="0" applyNumberFormat="1" applyFont="1" applyBorder="1" applyAlignment="1">
      <alignment horizontal="center"/>
    </xf>
    <xf numFmtId="2" fontId="32" fillId="0" borderId="15" xfId="0" applyNumberFormat="1" applyFont="1" applyBorder="1" applyAlignment="1">
      <alignment horizontal="center" wrapText="1"/>
    </xf>
    <xf numFmtId="2" fontId="32" fillId="0" borderId="7" xfId="0" applyNumberFormat="1" applyFont="1" applyBorder="1" applyAlignment="1">
      <alignment horizontal="center" wrapText="1"/>
    </xf>
    <xf numFmtId="49" fontId="17" fillId="0" borderId="20" xfId="0" applyNumberFormat="1" applyFont="1" applyBorder="1" applyAlignment="1">
      <alignment horizontal="center" vertical="center" wrapText="1"/>
    </xf>
    <xf numFmtId="2" fontId="32" fillId="0" borderId="18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7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17" fillId="0" borderId="33" xfId="0" applyFont="1" applyBorder="1" applyAlignment="1">
      <alignment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15" xfId="0" applyFont="1" applyBorder="1"/>
    <xf numFmtId="165" fontId="26" fillId="0" borderId="30" xfId="0" applyNumberFormat="1" applyFont="1" applyBorder="1" applyAlignment="1">
      <alignment horizontal="center"/>
    </xf>
    <xf numFmtId="2" fontId="14" fillId="5" borderId="18" xfId="0" applyNumberFormat="1" applyFont="1" applyFill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0" fontId="17" fillId="0" borderId="20" xfId="0" applyFont="1" applyBorder="1"/>
    <xf numFmtId="49" fontId="34" fillId="5" borderId="20" xfId="0" applyNumberFormat="1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1" xfId="0" applyFont="1" applyBorder="1"/>
    <xf numFmtId="49" fontId="17" fillId="0" borderId="20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19" xfId="0" applyFont="1" applyBorder="1" applyAlignment="1">
      <alignment wrapText="1"/>
    </xf>
    <xf numFmtId="165" fontId="27" fillId="0" borderId="20" xfId="0" applyNumberFormat="1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center" vertical="center"/>
    </xf>
    <xf numFmtId="2" fontId="17" fillId="0" borderId="7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vertical="center"/>
    </xf>
    <xf numFmtId="165" fontId="27" fillId="0" borderId="33" xfId="0" applyNumberFormat="1" applyFont="1" applyBorder="1" applyAlignment="1">
      <alignment horizontal="center" vertical="center"/>
    </xf>
    <xf numFmtId="2" fontId="17" fillId="0" borderId="9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vertical="center"/>
    </xf>
    <xf numFmtId="2" fontId="17" fillId="0" borderId="20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right" wrapText="1"/>
    </xf>
    <xf numFmtId="2" fontId="30" fillId="5" borderId="15" xfId="0" applyNumberFormat="1" applyFont="1" applyFill="1" applyBorder="1" applyAlignment="1">
      <alignment horizontal="center" wrapText="1"/>
    </xf>
    <xf numFmtId="0" fontId="17" fillId="0" borderId="15" xfId="0" applyFont="1" applyBorder="1" applyAlignment="1">
      <alignment horizontal="right" wrapText="1"/>
    </xf>
    <xf numFmtId="49" fontId="18" fillId="0" borderId="15" xfId="0" applyNumberFormat="1" applyFont="1" applyBorder="1" applyAlignment="1">
      <alignment horizontal="center"/>
    </xf>
    <xf numFmtId="0" fontId="24" fillId="0" borderId="29" xfId="0" applyFont="1" applyBorder="1"/>
    <xf numFmtId="0" fontId="29" fillId="0" borderId="19" xfId="0" applyFont="1" applyBorder="1"/>
    <xf numFmtId="165" fontId="27" fillId="0" borderId="20" xfId="0" applyNumberFormat="1" applyFont="1" applyBorder="1" applyAlignment="1">
      <alignment horizontal="center"/>
    </xf>
    <xf numFmtId="165" fontId="26" fillId="0" borderId="13" xfId="0" applyNumberFormat="1" applyFont="1" applyBorder="1" applyAlignment="1">
      <alignment horizontal="center"/>
    </xf>
    <xf numFmtId="0" fontId="18" fillId="0" borderId="13" xfId="0" applyFont="1" applyBorder="1" applyAlignment="1">
      <alignment vertical="center" wrapText="1"/>
    </xf>
    <xf numFmtId="0" fontId="18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6" fontId="3" fillId="0" borderId="20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20" fillId="0" borderId="29" xfId="0" applyFont="1" applyBorder="1"/>
    <xf numFmtId="0" fontId="3" fillId="0" borderId="11" xfId="0" applyFont="1" applyBorder="1" applyAlignment="1">
      <alignment vertical="center"/>
    </xf>
    <xf numFmtId="2" fontId="20" fillId="0" borderId="20" xfId="0" applyNumberFormat="1" applyFont="1" applyBorder="1" applyAlignment="1">
      <alignment horizontal="center"/>
    </xf>
    <xf numFmtId="2" fontId="20" fillId="0" borderId="13" xfId="0" applyNumberFormat="1" applyFont="1" applyBorder="1" applyAlignment="1">
      <alignment horizontal="center"/>
    </xf>
    <xf numFmtId="0" fontId="17" fillId="0" borderId="29" xfId="0" applyFont="1" applyBorder="1" applyAlignment="1">
      <alignment horizontal="center" vertical="center" wrapText="1"/>
    </xf>
    <xf numFmtId="0" fontId="24" fillId="0" borderId="19" xfId="1" applyFont="1" applyBorder="1"/>
    <xf numFmtId="0" fontId="24" fillId="0" borderId="7" xfId="1" applyFont="1" applyBorder="1"/>
    <xf numFmtId="0" fontId="24" fillId="0" borderId="14" xfId="1" applyFont="1" applyBorder="1"/>
    <xf numFmtId="49" fontId="3" fillId="0" borderId="7" xfId="0" applyNumberFormat="1" applyFont="1" applyBorder="1" applyAlignment="1">
      <alignment horizontal="left"/>
    </xf>
    <xf numFmtId="0" fontId="3" fillId="0" borderId="11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/>
    </xf>
    <xf numFmtId="2" fontId="3" fillId="0" borderId="15" xfId="0" applyNumberFormat="1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 wrapText="1"/>
    </xf>
    <xf numFmtId="0" fontId="20" fillId="0" borderId="40" xfId="2" applyFont="1" applyBorder="1" applyAlignment="1">
      <alignment horizontal="center"/>
    </xf>
    <xf numFmtId="0" fontId="20" fillId="0" borderId="41" xfId="2" applyFont="1" applyBorder="1" applyAlignment="1">
      <alignment horizontal="center"/>
    </xf>
    <xf numFmtId="0" fontId="20" fillId="0" borderId="42" xfId="2" applyFont="1" applyBorder="1" applyAlignment="1">
      <alignment horizontal="center"/>
    </xf>
    <xf numFmtId="0" fontId="29" fillId="0" borderId="7" xfId="0" applyFont="1" applyBorder="1"/>
    <xf numFmtId="0" fontId="20" fillId="0" borderId="20" xfId="2" applyFont="1" applyBorder="1" applyAlignment="1">
      <alignment horizontal="left"/>
    </xf>
    <xf numFmtId="0" fontId="20" fillId="0" borderId="20" xfId="2" applyFont="1" applyBorder="1" applyAlignment="1">
      <alignment horizontal="left" wrapText="1"/>
    </xf>
    <xf numFmtId="0" fontId="20" fillId="0" borderId="42" xfId="2" applyFont="1" applyBorder="1" applyAlignment="1">
      <alignment horizontal="left"/>
    </xf>
    <xf numFmtId="0" fontId="29" fillId="0" borderId="7" xfId="3" applyFont="1" applyBorder="1"/>
    <xf numFmtId="0" fontId="29" fillId="0" borderId="7" xfId="0" applyFont="1" applyBorder="1" applyAlignment="1">
      <alignment horizontal="center" vertical="center"/>
    </xf>
    <xf numFmtId="0" fontId="20" fillId="0" borderId="38" xfId="2" applyFont="1" applyBorder="1" applyAlignment="1">
      <alignment horizontal="center" vertical="center"/>
    </xf>
    <xf numFmtId="0" fontId="20" fillId="0" borderId="39" xfId="2" applyFont="1" applyBorder="1" applyAlignment="1">
      <alignment horizontal="center" vertical="center"/>
    </xf>
    <xf numFmtId="0" fontId="20" fillId="0" borderId="20" xfId="2" applyFont="1" applyBorder="1" applyAlignment="1">
      <alignment horizontal="center"/>
    </xf>
    <xf numFmtId="0" fontId="20" fillId="0" borderId="39" xfId="2" applyFont="1" applyBorder="1" applyAlignment="1">
      <alignment horizontal="left" vertical="center"/>
    </xf>
    <xf numFmtId="0" fontId="20" fillId="0" borderId="42" xfId="2" applyFont="1" applyBorder="1" applyAlignment="1">
      <alignment horizontal="left" wrapText="1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0" xfId="0" applyFont="1" applyBorder="1" applyAlignment="1">
      <alignment horizontal="center" wrapText="1"/>
    </xf>
    <xf numFmtId="0" fontId="20" fillId="0" borderId="41" xfId="0" applyFont="1" applyBorder="1" applyAlignment="1">
      <alignment horizontal="center"/>
    </xf>
    <xf numFmtId="0" fontId="20" fillId="0" borderId="42" xfId="0" applyFont="1" applyBorder="1" applyAlignment="1">
      <alignment horizontal="center" wrapText="1"/>
    </xf>
    <xf numFmtId="0" fontId="20" fillId="0" borderId="42" xfId="0" applyFont="1" applyBorder="1" applyAlignment="1">
      <alignment horizontal="center"/>
    </xf>
    <xf numFmtId="0" fontId="20" fillId="0" borderId="38" xfId="0" applyFont="1" applyBorder="1" applyAlignment="1">
      <alignment horizontal="left" vertical="center"/>
    </xf>
    <xf numFmtId="0" fontId="20" fillId="0" borderId="40" xfId="0" applyFont="1" applyBorder="1" applyAlignment="1">
      <alignment horizontal="left"/>
    </xf>
    <xf numFmtId="0" fontId="24" fillId="0" borderId="7" xfId="0" applyFont="1" applyBorder="1" applyAlignment="1">
      <alignment horizontal="left"/>
    </xf>
    <xf numFmtId="0" fontId="20" fillId="0" borderId="39" xfId="0" applyFont="1" applyBorder="1" applyAlignment="1">
      <alignment horizontal="left" vertical="center"/>
    </xf>
    <xf numFmtId="0" fontId="20" fillId="0" borderId="20" xfId="0" applyFont="1" applyBorder="1" applyAlignment="1">
      <alignment horizontal="left"/>
    </xf>
    <xf numFmtId="0" fontId="29" fillId="0" borderId="19" xfId="3" applyFont="1" applyBorder="1"/>
    <xf numFmtId="0" fontId="7" fillId="6" borderId="7" xfId="0" applyFont="1" applyFill="1" applyBorder="1" applyAlignment="1">
      <alignment horizontal="left" vertical="center" wrapText="1"/>
    </xf>
    <xf numFmtId="0" fontId="24" fillId="0" borderId="7" xfId="3" applyFont="1" applyBorder="1"/>
    <xf numFmtId="0" fontId="24" fillId="0" borderId="19" xfId="3" applyFont="1" applyBorder="1"/>
    <xf numFmtId="2" fontId="11" fillId="8" borderId="15" xfId="0" applyNumberFormat="1" applyFont="1" applyFill="1" applyBorder="1" applyAlignment="1">
      <alignment horizontal="center" wrapText="1"/>
    </xf>
    <xf numFmtId="2" fontId="11" fillId="8" borderId="7" xfId="0" applyNumberFormat="1" applyFont="1" applyFill="1" applyBorder="1" applyAlignment="1">
      <alignment horizontal="center" wrapText="1"/>
    </xf>
    <xf numFmtId="2" fontId="12" fillId="8" borderId="7" xfId="0" applyNumberFormat="1" applyFont="1" applyFill="1" applyBorder="1" applyAlignment="1">
      <alignment horizontal="center" wrapText="1"/>
    </xf>
    <xf numFmtId="0" fontId="17" fillId="0" borderId="13" xfId="0" applyFont="1" applyBorder="1" applyAlignment="1">
      <alignment horizontal="center" vertical="center" wrapText="1"/>
    </xf>
    <xf numFmtId="16" fontId="17" fillId="0" borderId="13" xfId="0" applyNumberFormat="1" applyFont="1" applyBorder="1" applyAlignment="1">
      <alignment horizontal="center" vertical="center" wrapText="1"/>
    </xf>
    <xf numFmtId="2" fontId="27" fillId="0" borderId="13" xfId="0" applyNumberFormat="1" applyFont="1" applyBorder="1" applyAlignment="1">
      <alignment horizontal="center"/>
    </xf>
    <xf numFmtId="0" fontId="18" fillId="0" borderId="1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16" fontId="17" fillId="0" borderId="13" xfId="0" applyNumberFormat="1" applyFont="1" applyBorder="1" applyAlignment="1">
      <alignment horizontal="left" vertical="center" wrapText="1"/>
    </xf>
    <xf numFmtId="2" fontId="27" fillId="0" borderId="13" xfId="0" applyNumberFormat="1" applyFont="1" applyBorder="1" applyAlignment="1">
      <alignment horizontal="left"/>
    </xf>
    <xf numFmtId="0" fontId="18" fillId="0" borderId="20" xfId="0" applyFont="1" applyBorder="1" applyAlignment="1">
      <alignment horizontal="left" vertical="center" wrapText="1"/>
    </xf>
    <xf numFmtId="2" fontId="3" fillId="5" borderId="19" xfId="0" applyNumberFormat="1" applyFont="1" applyFill="1" applyBorder="1" applyAlignment="1">
      <alignment horizontal="center" vertical="top" wrapText="1"/>
    </xf>
    <xf numFmtId="2" fontId="10" fillId="5" borderId="19" xfId="0" applyNumberFormat="1" applyFont="1" applyFill="1" applyBorder="1" applyAlignment="1">
      <alignment vertical="top"/>
    </xf>
    <xf numFmtId="0" fontId="3" fillId="0" borderId="15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21" fillId="0" borderId="20" xfId="0" applyFont="1" applyBorder="1"/>
    <xf numFmtId="0" fontId="7" fillId="7" borderId="19" xfId="0" applyFont="1" applyFill="1" applyBorder="1" applyAlignment="1">
      <alignment horizontal="left" vertical="center"/>
    </xf>
    <xf numFmtId="0" fontId="29" fillId="0" borderId="20" xfId="0" applyFont="1" applyBorder="1" applyAlignment="1">
      <alignment horizontal="left"/>
    </xf>
    <xf numFmtId="49" fontId="3" fillId="0" borderId="11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2" fontId="27" fillId="0" borderId="20" xfId="0" applyNumberFormat="1" applyFont="1" applyBorder="1"/>
    <xf numFmtId="0" fontId="5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4" fillId="0" borderId="8" xfId="0" applyFont="1" applyBorder="1"/>
    <xf numFmtId="0" fontId="5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right" wrapText="1"/>
    </xf>
    <xf numFmtId="0" fontId="4" fillId="0" borderId="10" xfId="0" applyFont="1" applyBorder="1"/>
    <xf numFmtId="0" fontId="4" fillId="0" borderId="9" xfId="0" applyFont="1" applyBorder="1"/>
    <xf numFmtId="0" fontId="9" fillId="3" borderId="2" xfId="0" applyFont="1" applyFill="1" applyBorder="1" applyAlignment="1">
      <alignment horizontal="left"/>
    </xf>
    <xf numFmtId="0" fontId="7" fillId="0" borderId="1" xfId="0" applyFont="1" applyBorder="1" applyAlignment="1">
      <alignment vertical="center" wrapText="1"/>
    </xf>
    <xf numFmtId="0" fontId="4" fillId="0" borderId="12" xfId="0" applyFont="1" applyBorder="1"/>
    <xf numFmtId="0" fontId="4" fillId="0" borderId="18" xfId="0" applyFont="1" applyBorder="1"/>
    <xf numFmtId="0" fontId="6" fillId="0" borderId="2" xfId="0" applyFont="1" applyBorder="1"/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5" fillId="0" borderId="11" xfId="0" applyFont="1" applyBorder="1" applyAlignment="1">
      <alignment horizontal="right" wrapText="1"/>
    </xf>
    <xf numFmtId="0" fontId="3" fillId="2" borderId="1" xfId="0" applyFont="1" applyFill="1" applyBorder="1"/>
    <xf numFmtId="0" fontId="4" fillId="0" borderId="6" xfId="0" applyFont="1" applyBorder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9" fillId="0" borderId="20" xfId="3" applyFont="1" applyBorder="1"/>
    <xf numFmtId="0" fontId="29" fillId="0" borderId="4" xfId="3" applyFont="1" applyBorder="1" applyAlignment="1">
      <alignment horizontal="left"/>
    </xf>
    <xf numFmtId="0" fontId="29" fillId="0" borderId="14" xfId="3" applyFont="1" applyBorder="1" applyAlignment="1">
      <alignment horizontal="left"/>
    </xf>
    <xf numFmtId="0" fontId="29" fillId="0" borderId="9" xfId="3" applyFont="1" applyBorder="1" applyAlignment="1">
      <alignment horizontal="left"/>
    </xf>
    <xf numFmtId="0" fontId="29" fillId="0" borderId="18" xfId="3" applyFont="1" applyBorder="1" applyAlignment="1">
      <alignment horizontal="left"/>
    </xf>
    <xf numFmtId="0" fontId="25" fillId="0" borderId="24" xfId="0" applyFont="1" applyBorder="1" applyAlignment="1">
      <alignment horizontal="left" vertical="center"/>
    </xf>
    <xf numFmtId="0" fontId="25" fillId="0" borderId="25" xfId="0" applyFont="1" applyBorder="1" applyAlignment="1">
      <alignment horizontal="left" vertical="center"/>
    </xf>
    <xf numFmtId="0" fontId="25" fillId="0" borderId="20" xfId="1" applyFont="1" applyBorder="1" applyAlignment="1">
      <alignment horizontal="center" vertical="center" wrapText="1"/>
    </xf>
    <xf numFmtId="0" fontId="0" fillId="0" borderId="27" xfId="0" applyBorder="1"/>
    <xf numFmtId="0" fontId="29" fillId="0" borderId="36" xfId="3" applyFont="1" applyBorder="1" applyAlignment="1">
      <alignment horizontal="left"/>
    </xf>
    <xf numFmtId="0" fontId="29" fillId="0" borderId="34" xfId="3" applyFont="1" applyBorder="1" applyAlignment="1">
      <alignment horizontal="left"/>
    </xf>
    <xf numFmtId="0" fontId="24" fillId="0" borderId="20" xfId="0" applyFont="1" applyBorder="1"/>
    <xf numFmtId="0" fontId="0" fillId="0" borderId="0" xfId="0"/>
    <xf numFmtId="0" fontId="24" fillId="0" borderId="20" xfId="1" applyFont="1" applyBorder="1"/>
    <xf numFmtId="0" fontId="27" fillId="0" borderId="20" xfId="0" applyFont="1" applyBorder="1"/>
    <xf numFmtId="0" fontId="29" fillId="0" borderId="20" xfId="0" applyFont="1" applyBorder="1"/>
    <xf numFmtId="0" fontId="27" fillId="0" borderId="29" xfId="0" applyFont="1" applyBorder="1"/>
    <xf numFmtId="0" fontId="27" fillId="0" borderId="30" xfId="0" applyFont="1" applyBorder="1"/>
    <xf numFmtId="0" fontId="24" fillId="0" borderId="32" xfId="0" applyFont="1" applyBorder="1"/>
    <xf numFmtId="0" fontId="24" fillId="0" borderId="30" xfId="0" applyFont="1" applyBorder="1"/>
    <xf numFmtId="0" fontId="25" fillId="0" borderId="22" xfId="0" applyFont="1" applyBorder="1" applyAlignment="1">
      <alignment horizontal="left" vertical="center"/>
    </xf>
    <xf numFmtId="0" fontId="25" fillId="0" borderId="23" xfId="0" applyFont="1" applyBorder="1" applyAlignment="1">
      <alignment horizontal="left" vertical="center"/>
    </xf>
    <xf numFmtId="0" fontId="24" fillId="0" borderId="20" xfId="0" applyFont="1" applyBorder="1" applyAlignment="1">
      <alignment horizontal="center"/>
    </xf>
    <xf numFmtId="0" fontId="7" fillId="7" borderId="20" xfId="0" applyFont="1" applyFill="1" applyBorder="1" applyAlignment="1">
      <alignment horizontal="left" vertical="center"/>
    </xf>
    <xf numFmtId="0" fontId="24" fillId="0" borderId="20" xfId="3" applyFont="1" applyBorder="1"/>
    <xf numFmtId="0" fontId="24" fillId="0" borderId="21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29" fillId="0" borderId="44" xfId="0" applyFont="1" applyBorder="1"/>
    <xf numFmtId="0" fontId="29" fillId="0" borderId="14" xfId="0" applyFont="1" applyBorder="1"/>
    <xf numFmtId="0" fontId="25" fillId="0" borderId="20" xfId="0" applyFont="1" applyBorder="1" applyAlignment="1">
      <alignment horizontal="left" vertical="center"/>
    </xf>
    <xf numFmtId="0" fontId="0" fillId="0" borderId="20" xfId="0" applyBorder="1"/>
    <xf numFmtId="0" fontId="29" fillId="0" borderId="45" xfId="0" applyFont="1" applyBorder="1" applyAlignment="1">
      <alignment horizontal="center"/>
    </xf>
    <xf numFmtId="0" fontId="29" fillId="0" borderId="46" xfId="0" applyFont="1" applyBorder="1" applyAlignment="1">
      <alignment horizontal="center"/>
    </xf>
    <xf numFmtId="0" fontId="29" fillId="0" borderId="24" xfId="0" applyFont="1" applyBorder="1" applyAlignment="1">
      <alignment horizontal="left"/>
    </xf>
    <xf numFmtId="0" fontId="29" fillId="0" borderId="35" xfId="0" applyFont="1" applyBorder="1" applyAlignment="1">
      <alignment horizontal="left"/>
    </xf>
    <xf numFmtId="0" fontId="24" fillId="0" borderId="43" xfId="0" applyFont="1" applyBorder="1"/>
    <xf numFmtId="0" fontId="29" fillId="0" borderId="34" xfId="0" applyFont="1" applyBorder="1"/>
    <xf numFmtId="0" fontId="25" fillId="0" borderId="29" xfId="0" applyFont="1" applyBorder="1" applyAlignment="1">
      <alignment vertical="center"/>
    </xf>
    <xf numFmtId="0" fontId="25" fillId="0" borderId="32" xfId="0" applyFont="1" applyBorder="1" applyAlignment="1">
      <alignment vertical="center"/>
    </xf>
    <xf numFmtId="0" fontId="25" fillId="0" borderId="30" xfId="0" applyFont="1" applyBorder="1" applyAlignment="1">
      <alignment vertical="center"/>
    </xf>
    <xf numFmtId="0" fontId="24" fillId="0" borderId="29" xfId="0" applyFont="1" applyBorder="1"/>
    <xf numFmtId="0" fontId="24" fillId="0" borderId="49" xfId="0" applyFont="1" applyBorder="1"/>
    <xf numFmtId="0" fontId="24" fillId="0" borderId="26" xfId="0" applyFont="1" applyBorder="1"/>
    <xf numFmtId="0" fontId="24" fillId="0" borderId="13" xfId="0" applyFont="1" applyBorder="1"/>
    <xf numFmtId="0" fontId="24" fillId="0" borderId="47" xfId="0" applyFont="1" applyBorder="1"/>
    <xf numFmtId="0" fontId="24" fillId="0" borderId="23" xfId="0" applyFont="1" applyBorder="1"/>
    <xf numFmtId="0" fontId="24" fillId="0" borderId="48" xfId="0" applyFont="1" applyBorder="1"/>
  </cellXfs>
  <cellStyles count="4">
    <cellStyle name="Normal" xfId="0" builtinId="0"/>
    <cellStyle name="Normal 2" xfId="1" xr:uid="{DB1A6452-2A81-4ECF-994C-EF1C3BFE1488}"/>
    <cellStyle name="Normal 3" xfId="2" xr:uid="{DD86078A-A09E-4502-B42F-C95A88F8E6CB}"/>
    <cellStyle name="Normal 4" xfId="3" xr:uid="{ADF660FB-68CA-4954-9A1A-C3B376C89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9525</xdr:rowOff>
    </xdr:from>
    <xdr:ext cx="74295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9525"/>
          <a:ext cx="742950" cy="5143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4295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193FA26D-448E-4C8A-B512-B12579D8A38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42950" cy="5143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9525</xdr:rowOff>
    </xdr:from>
    <xdr:ext cx="74295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81741E2F-1FEF-4FC3-A696-2FC56E8CABC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550" y="6350"/>
          <a:ext cx="74295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3"/>
  <sheetViews>
    <sheetView tabSelected="1" view="pageBreakPreview" zoomScale="60" zoomScaleNormal="100" workbookViewId="0">
      <pane ySplit="8" topLeftCell="A9" activePane="bottomLeft" state="frozen"/>
      <selection pane="bottomLeft" activeCell="I61" sqref="I61"/>
    </sheetView>
  </sheetViews>
  <sheetFormatPr defaultColWidth="14.453125" defaultRowHeight="15" customHeight="1" x14ac:dyDescent="0.35"/>
  <cols>
    <col min="1" max="1" width="11.54296875" customWidth="1"/>
    <col min="2" max="2" width="10.54296875" customWidth="1"/>
    <col min="3" max="3" width="31.81640625" customWidth="1"/>
    <col min="4" max="4" width="11.453125" customWidth="1"/>
    <col min="5" max="5" width="10.453125" customWidth="1"/>
    <col min="6" max="6" width="16.54296875" customWidth="1"/>
    <col min="7" max="7" width="9.7265625" customWidth="1"/>
    <col min="8" max="8" width="16.1796875" customWidth="1"/>
    <col min="9" max="9" width="7.54296875" customWidth="1"/>
    <col min="10" max="10" width="7.26953125" customWidth="1"/>
    <col min="11" max="11" width="7.453125" customWidth="1"/>
    <col min="12" max="13" width="6.26953125" customWidth="1"/>
    <col min="14" max="26" width="23.7265625" customWidth="1"/>
  </cols>
  <sheetData>
    <row r="1" spans="1:26" ht="15.75" customHeight="1" x14ac:dyDescent="0.35">
      <c r="A1" s="324"/>
      <c r="B1" s="326" t="s">
        <v>0</v>
      </c>
      <c r="C1" s="304"/>
      <c r="D1" s="327"/>
      <c r="E1" s="303"/>
      <c r="F1" s="303"/>
      <c r="G1" s="303"/>
      <c r="H1" s="303"/>
      <c r="I1" s="303"/>
      <c r="J1" s="304"/>
      <c r="K1" s="328" t="s">
        <v>1</v>
      </c>
      <c r="L1" s="304"/>
      <c r="M1" s="328" t="s">
        <v>2</v>
      </c>
      <c r="N1" s="3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325"/>
      <c r="B2" s="326" t="s">
        <v>3</v>
      </c>
      <c r="C2" s="304"/>
      <c r="D2" s="327"/>
      <c r="E2" s="303"/>
      <c r="F2" s="303"/>
      <c r="G2" s="303"/>
      <c r="H2" s="303"/>
      <c r="I2" s="303"/>
      <c r="J2" s="304"/>
      <c r="K2" s="328" t="s">
        <v>4</v>
      </c>
      <c r="L2" s="304"/>
      <c r="M2" s="2">
        <v>0</v>
      </c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35">
      <c r="A3" s="309"/>
      <c r="B3" s="326" t="s">
        <v>5</v>
      </c>
      <c r="C3" s="304"/>
      <c r="D3" s="327"/>
      <c r="E3" s="303"/>
      <c r="F3" s="303"/>
      <c r="G3" s="303"/>
      <c r="H3" s="303"/>
      <c r="I3" s="303"/>
      <c r="J3" s="304"/>
      <c r="K3" s="328" t="s">
        <v>6</v>
      </c>
      <c r="L3" s="304"/>
      <c r="M3" s="329" t="s">
        <v>7</v>
      </c>
      <c r="N3" s="30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5" x14ac:dyDescent="0.35">
      <c r="A4" s="6"/>
      <c r="B4" s="6"/>
      <c r="C4" s="3"/>
      <c r="D4" s="6"/>
      <c r="E4" s="7"/>
      <c r="F4" s="8"/>
      <c r="G4" s="7"/>
      <c r="H4" s="7"/>
      <c r="I4" s="7"/>
      <c r="J4" s="7"/>
      <c r="K4" s="7"/>
      <c r="L4" s="7"/>
      <c r="M4" s="7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5" x14ac:dyDescent="0.35">
      <c r="A5" s="9" t="s">
        <v>8</v>
      </c>
      <c r="B5" s="6" t="s">
        <v>9</v>
      </c>
      <c r="C5" s="10"/>
      <c r="D5" s="6"/>
      <c r="E5" s="7"/>
      <c r="F5" s="8"/>
      <c r="G5" s="7"/>
      <c r="H5" s="7"/>
      <c r="I5" s="7"/>
      <c r="J5" s="7"/>
      <c r="K5" s="7"/>
      <c r="L5" s="7"/>
      <c r="M5" s="7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5" x14ac:dyDescent="0.35">
      <c r="A6" s="9" t="s">
        <v>10</v>
      </c>
      <c r="B6" s="6" t="s">
        <v>11</v>
      </c>
      <c r="C6" s="3"/>
      <c r="D6" s="6"/>
      <c r="E6" s="7"/>
      <c r="F6" s="8"/>
      <c r="G6" s="7"/>
      <c r="H6" s="7"/>
      <c r="I6" s="7"/>
      <c r="J6" s="7"/>
      <c r="K6" s="7"/>
      <c r="L6" s="7"/>
      <c r="M6" s="7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5" x14ac:dyDescent="0.35">
      <c r="A7" s="330" t="s">
        <v>12</v>
      </c>
      <c r="B7" s="330" t="s">
        <v>13</v>
      </c>
      <c r="C7" s="312" t="s">
        <v>14</v>
      </c>
      <c r="D7" s="312" t="s">
        <v>15</v>
      </c>
      <c r="E7" s="312" t="s">
        <v>16</v>
      </c>
      <c r="F7" s="331" t="s">
        <v>17</v>
      </c>
      <c r="G7" s="330" t="s">
        <v>18</v>
      </c>
      <c r="H7" s="312" t="s">
        <v>19</v>
      </c>
      <c r="I7" s="312" t="s">
        <v>20</v>
      </c>
      <c r="J7" s="312" t="s">
        <v>21</v>
      </c>
      <c r="K7" s="312" t="s">
        <v>22</v>
      </c>
      <c r="L7" s="312" t="s">
        <v>23</v>
      </c>
      <c r="M7" s="312" t="s">
        <v>24</v>
      </c>
      <c r="N7" s="312" t="s">
        <v>25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1.75" customHeight="1" x14ac:dyDescent="0.35">
      <c r="A8" s="309"/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35">
      <c r="A9" s="12"/>
      <c r="B9" s="13"/>
      <c r="C9" s="14"/>
      <c r="D9" s="13"/>
      <c r="E9" s="15"/>
      <c r="F9" s="16"/>
      <c r="G9" s="13"/>
      <c r="H9" s="13"/>
      <c r="I9" s="13"/>
      <c r="J9" s="13"/>
      <c r="K9" s="13"/>
      <c r="L9" s="13"/>
      <c r="M9" s="13"/>
      <c r="N9" s="14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35">
      <c r="A10" s="316" t="s">
        <v>51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5">
      <c r="A11" s="22" t="s">
        <v>52</v>
      </c>
      <c r="B11" s="115"/>
      <c r="C11" s="116"/>
      <c r="D11" s="115"/>
      <c r="E11" s="90"/>
      <c r="F11" s="117"/>
      <c r="G11" s="115"/>
      <c r="H11" s="115"/>
      <c r="I11" s="115"/>
      <c r="J11" s="13"/>
      <c r="K11" s="13"/>
      <c r="L11" s="13"/>
      <c r="M11" s="13"/>
      <c r="N11" s="14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35">
      <c r="A12" s="112" t="s">
        <v>26</v>
      </c>
      <c r="B12" s="128" t="s">
        <v>196</v>
      </c>
      <c r="C12" s="175" t="s">
        <v>197</v>
      </c>
      <c r="D12" s="127" t="s">
        <v>64</v>
      </c>
      <c r="E12" s="121"/>
      <c r="F12" s="176" t="s">
        <v>221</v>
      </c>
      <c r="G12" s="176" t="s">
        <v>46</v>
      </c>
      <c r="H12" s="182" t="s">
        <v>53</v>
      </c>
      <c r="I12" s="183">
        <v>3</v>
      </c>
      <c r="J12" s="184">
        <v>3</v>
      </c>
      <c r="K12" s="49">
        <v>12</v>
      </c>
      <c r="L12" s="50"/>
      <c r="M12" s="35">
        <v>6</v>
      </c>
      <c r="N12" s="317" t="s">
        <v>54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75" customHeight="1" x14ac:dyDescent="0.35">
      <c r="A13" s="113"/>
      <c r="B13" s="128" t="s">
        <v>196</v>
      </c>
      <c r="C13" s="175" t="s">
        <v>197</v>
      </c>
      <c r="D13" s="127" t="s">
        <v>64</v>
      </c>
      <c r="E13" s="121"/>
      <c r="F13" s="188" t="s">
        <v>127</v>
      </c>
      <c r="G13" s="176" t="s">
        <v>37</v>
      </c>
      <c r="H13" s="182" t="s">
        <v>76</v>
      </c>
      <c r="I13" s="183">
        <v>1</v>
      </c>
      <c r="J13" s="184">
        <v>3</v>
      </c>
      <c r="K13" s="51"/>
      <c r="L13" s="50"/>
      <c r="M13" s="50"/>
      <c r="N13" s="30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75" customHeight="1" x14ac:dyDescent="0.35">
      <c r="A14" s="13"/>
      <c r="B14" s="118" t="s">
        <v>222</v>
      </c>
      <c r="C14" s="13" t="s">
        <v>59</v>
      </c>
      <c r="D14" s="125" t="s">
        <v>223</v>
      </c>
      <c r="E14" s="119"/>
      <c r="F14" s="120" t="s">
        <v>103</v>
      </c>
      <c r="G14" s="120" t="s">
        <v>29</v>
      </c>
      <c r="H14" s="122" t="s">
        <v>55</v>
      </c>
      <c r="I14" s="185">
        <v>1</v>
      </c>
      <c r="J14" s="184">
        <v>3</v>
      </c>
      <c r="K14" s="51"/>
      <c r="L14" s="50"/>
      <c r="M14" s="50"/>
      <c r="N14" s="4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75" customHeight="1" x14ac:dyDescent="0.35">
      <c r="A15" s="52"/>
      <c r="B15" s="128" t="s">
        <v>213</v>
      </c>
      <c r="C15" s="128" t="s">
        <v>214</v>
      </c>
      <c r="D15" s="127" t="s">
        <v>99</v>
      </c>
      <c r="E15" s="54"/>
      <c r="F15" s="192"/>
      <c r="G15" s="190"/>
      <c r="H15" s="191"/>
      <c r="I15" s="186">
        <v>1</v>
      </c>
      <c r="J15" s="187">
        <v>3</v>
      </c>
      <c r="K15" s="124"/>
      <c r="L15" s="124"/>
      <c r="M15" s="124"/>
      <c r="N15" s="14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35">
      <c r="A16" s="129"/>
      <c r="B16" s="13" t="s">
        <v>212</v>
      </c>
      <c r="C16" s="13" t="s">
        <v>68</v>
      </c>
      <c r="D16" s="15" t="s">
        <v>69</v>
      </c>
      <c r="E16" s="130"/>
      <c r="F16" s="166" t="s">
        <v>244</v>
      </c>
      <c r="G16" s="193" t="s">
        <v>37</v>
      </c>
      <c r="H16" s="145" t="s">
        <v>58</v>
      </c>
      <c r="I16" s="189">
        <v>1</v>
      </c>
      <c r="J16" s="187">
        <v>0.6</v>
      </c>
      <c r="K16" s="124"/>
      <c r="L16" s="124"/>
      <c r="M16" s="124"/>
      <c r="N16" s="14" t="s">
        <v>241</v>
      </c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35">
      <c r="A17" s="306" t="s">
        <v>28</v>
      </c>
      <c r="B17" s="303"/>
      <c r="C17" s="303"/>
      <c r="D17" s="303"/>
      <c r="E17" s="303"/>
      <c r="F17" s="318"/>
      <c r="G17" s="318"/>
      <c r="H17" s="319"/>
      <c r="I17" s="56">
        <f>SUM(H12:H13)</f>
        <v>0</v>
      </c>
      <c r="J17" s="56">
        <f>SUM(J12:J16)</f>
        <v>12.6</v>
      </c>
      <c r="K17" s="56">
        <f>K12</f>
        <v>12</v>
      </c>
      <c r="L17" s="56">
        <f>(J17-K17)</f>
        <v>0.59999999999999964</v>
      </c>
      <c r="M17" s="56">
        <f>SUM(M11:M13)</f>
        <v>6</v>
      </c>
      <c r="N17" s="14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6.5" customHeight="1" x14ac:dyDescent="0.35">
      <c r="A18" s="320"/>
      <c r="B18" s="303"/>
      <c r="C18" s="303"/>
      <c r="D18" s="303"/>
      <c r="E18" s="303"/>
      <c r="F18" s="303"/>
      <c r="G18" s="303"/>
      <c r="H18" s="303"/>
      <c r="I18" s="314"/>
      <c r="J18" s="303"/>
      <c r="K18" s="303"/>
      <c r="L18" s="303"/>
      <c r="M18" s="303"/>
      <c r="N18" s="304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6.5" customHeight="1" x14ac:dyDescent="0.35">
      <c r="A19" s="18" t="s">
        <v>61</v>
      </c>
      <c r="B19" s="115"/>
      <c r="C19" s="108"/>
      <c r="D19" s="115"/>
      <c r="E19" s="90"/>
      <c r="F19" s="117"/>
      <c r="G19" s="115"/>
      <c r="H19" s="134"/>
      <c r="I19" s="133"/>
      <c r="J19" s="135"/>
      <c r="K19" s="13"/>
      <c r="L19" s="13"/>
      <c r="M19" s="13"/>
      <c r="N19" s="14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0.25" customHeight="1" x14ac:dyDescent="0.35">
      <c r="A20" s="112" t="s">
        <v>39</v>
      </c>
      <c r="B20" s="136"/>
      <c r="C20" s="136"/>
      <c r="D20" s="126"/>
      <c r="E20" s="126"/>
      <c r="F20" s="148"/>
      <c r="G20" s="126"/>
      <c r="H20" s="139"/>
      <c r="I20" s="155"/>
      <c r="J20" s="131"/>
      <c r="K20" s="49">
        <v>18</v>
      </c>
      <c r="L20" s="30"/>
      <c r="M20" s="30"/>
      <c r="N20" s="14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 x14ac:dyDescent="0.35">
      <c r="A21" s="113"/>
      <c r="B21" s="136" t="s">
        <v>145</v>
      </c>
      <c r="C21" s="136" t="s">
        <v>146</v>
      </c>
      <c r="D21" s="126" t="s">
        <v>93</v>
      </c>
      <c r="E21" s="126">
        <v>0</v>
      </c>
      <c r="F21" s="147" t="s">
        <v>127</v>
      </c>
      <c r="G21" s="126" t="s">
        <v>40</v>
      </c>
      <c r="H21" s="139" t="s">
        <v>55</v>
      </c>
      <c r="I21" s="155">
        <v>2</v>
      </c>
      <c r="J21" s="131">
        <v>6</v>
      </c>
      <c r="K21" s="51"/>
      <c r="L21" s="30"/>
      <c r="M21" s="30"/>
      <c r="N21" s="14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1" customHeight="1" x14ac:dyDescent="0.35">
      <c r="A22" s="113"/>
      <c r="B22" s="136" t="s">
        <v>145</v>
      </c>
      <c r="C22" s="136" t="s">
        <v>146</v>
      </c>
      <c r="D22" s="126" t="s">
        <v>83</v>
      </c>
      <c r="E22" s="139">
        <v>0</v>
      </c>
      <c r="F22" s="146" t="s">
        <v>103</v>
      </c>
      <c r="G22" s="141" t="s">
        <v>41</v>
      </c>
      <c r="H22" s="139" t="s">
        <v>76</v>
      </c>
      <c r="I22" s="155">
        <v>2</v>
      </c>
      <c r="J22" s="131">
        <v>6</v>
      </c>
      <c r="K22" s="51"/>
      <c r="L22" s="30"/>
      <c r="M22" s="30"/>
      <c r="N22" s="14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1" customHeight="1" x14ac:dyDescent="0.35">
      <c r="A23" s="113"/>
      <c r="B23" s="136" t="s">
        <v>200</v>
      </c>
      <c r="C23" s="136" t="s">
        <v>201</v>
      </c>
      <c r="D23" s="126" t="s">
        <v>62</v>
      </c>
      <c r="E23" s="139">
        <v>0</v>
      </c>
      <c r="F23" s="140" t="s">
        <v>127</v>
      </c>
      <c r="G23" s="141" t="s">
        <v>36</v>
      </c>
      <c r="H23" s="139" t="s">
        <v>76</v>
      </c>
      <c r="I23" s="155">
        <v>1</v>
      </c>
      <c r="J23" s="131">
        <v>3</v>
      </c>
      <c r="K23" s="51"/>
      <c r="L23" s="30"/>
      <c r="M23" s="30"/>
      <c r="N23" s="14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1" customHeight="1" x14ac:dyDescent="0.35">
      <c r="A24" s="113"/>
      <c r="B24" s="137" t="s">
        <v>200</v>
      </c>
      <c r="C24" s="137" t="s">
        <v>201</v>
      </c>
      <c r="D24" s="138" t="s">
        <v>64</v>
      </c>
      <c r="E24" s="142">
        <v>0</v>
      </c>
      <c r="F24" s="140" t="s">
        <v>127</v>
      </c>
      <c r="G24" s="143" t="s">
        <v>34</v>
      </c>
      <c r="H24" s="142" t="s">
        <v>76</v>
      </c>
      <c r="I24" s="155">
        <v>1</v>
      </c>
      <c r="J24" s="131">
        <v>3</v>
      </c>
      <c r="K24" s="51"/>
      <c r="L24" s="30"/>
      <c r="M24" s="30"/>
      <c r="N24" s="14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6.5" customHeight="1" x14ac:dyDescent="0.35">
      <c r="A25" s="13"/>
      <c r="B25" s="144" t="s">
        <v>231</v>
      </c>
      <c r="C25" s="109" t="s">
        <v>250</v>
      </c>
      <c r="D25" s="144" t="s">
        <v>273</v>
      </c>
      <c r="E25" s="142">
        <v>0</v>
      </c>
      <c r="F25" s="146" t="s">
        <v>263</v>
      </c>
      <c r="G25" s="145" t="s">
        <v>249</v>
      </c>
      <c r="H25" s="145" t="s">
        <v>266</v>
      </c>
      <c r="I25" s="35">
        <v>3</v>
      </c>
      <c r="J25" s="35">
        <v>3</v>
      </c>
      <c r="K25" s="51"/>
      <c r="L25" s="30"/>
      <c r="M25" s="30"/>
      <c r="N25" s="14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6.5" customHeight="1" x14ac:dyDescent="0.35">
      <c r="A26" s="13"/>
      <c r="B26" s="144" t="s">
        <v>231</v>
      </c>
      <c r="C26" s="109" t="s">
        <v>250</v>
      </c>
      <c r="D26" s="144" t="s">
        <v>433</v>
      </c>
      <c r="E26" s="142">
        <v>0</v>
      </c>
      <c r="F26" s="146" t="s">
        <v>421</v>
      </c>
      <c r="G26" s="145" t="s">
        <v>249</v>
      </c>
      <c r="H26" s="145" t="s">
        <v>434</v>
      </c>
      <c r="I26" s="35">
        <v>3</v>
      </c>
      <c r="J26" s="35">
        <v>3</v>
      </c>
      <c r="K26" s="51"/>
      <c r="L26" s="30"/>
      <c r="M26" s="30"/>
      <c r="N26" s="14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6.5" customHeight="1" x14ac:dyDescent="0.35">
      <c r="A27" s="13"/>
      <c r="B27" s="144" t="s">
        <v>212</v>
      </c>
      <c r="C27" s="144" t="s">
        <v>68</v>
      </c>
      <c r="D27" s="144" t="s">
        <v>69</v>
      </c>
      <c r="E27" s="145" t="s">
        <v>70</v>
      </c>
      <c r="F27" s="146" t="s">
        <v>244</v>
      </c>
      <c r="G27" s="145" t="s">
        <v>29</v>
      </c>
      <c r="H27" s="145" t="s">
        <v>58</v>
      </c>
      <c r="I27" s="35">
        <v>1</v>
      </c>
      <c r="J27" s="35">
        <v>0.6</v>
      </c>
      <c r="K27" s="51"/>
      <c r="L27" s="30"/>
      <c r="M27" s="30"/>
      <c r="N27" s="14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6.5" customHeight="1" x14ac:dyDescent="0.35">
      <c r="A28" s="13"/>
      <c r="B28" s="13" t="s">
        <v>225</v>
      </c>
      <c r="C28" s="13" t="s">
        <v>226</v>
      </c>
      <c r="D28" s="13" t="s">
        <v>256</v>
      </c>
      <c r="E28" s="33">
        <v>0</v>
      </c>
      <c r="F28" s="58" t="s">
        <v>30</v>
      </c>
      <c r="G28" s="33" t="s">
        <v>48</v>
      </c>
      <c r="H28" s="33" t="s">
        <v>71</v>
      </c>
      <c r="I28" s="35">
        <v>3</v>
      </c>
      <c r="J28" s="35">
        <v>0</v>
      </c>
      <c r="K28" s="51"/>
      <c r="L28" s="30"/>
      <c r="M28" s="30"/>
      <c r="N28" s="14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6.5" customHeight="1" x14ac:dyDescent="0.35">
      <c r="A29" s="306" t="s">
        <v>28</v>
      </c>
      <c r="B29" s="303"/>
      <c r="C29" s="303"/>
      <c r="D29" s="303"/>
      <c r="E29" s="303"/>
      <c r="F29" s="303"/>
      <c r="G29" s="303"/>
      <c r="H29" s="304"/>
      <c r="I29" s="56">
        <f>SUM(I20:I24)</f>
        <v>6</v>
      </c>
      <c r="J29" s="56">
        <f>SUM(J20:J28)</f>
        <v>24.6</v>
      </c>
      <c r="K29" s="56">
        <v>18</v>
      </c>
      <c r="L29" s="56">
        <f>(J29-K29)</f>
        <v>6.6000000000000014</v>
      </c>
      <c r="M29" s="56">
        <f>SUM(M19:M24)</f>
        <v>0</v>
      </c>
      <c r="N29" s="14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6.5" customHeight="1" x14ac:dyDescent="0.35">
      <c r="A30" s="321"/>
      <c r="B30" s="303"/>
      <c r="C30" s="303"/>
      <c r="D30" s="303"/>
      <c r="E30" s="303"/>
      <c r="F30" s="303"/>
      <c r="G30" s="303"/>
      <c r="H30" s="303"/>
      <c r="I30" s="314"/>
      <c r="J30" s="303"/>
      <c r="K30" s="303"/>
      <c r="L30" s="303"/>
      <c r="M30" s="303"/>
      <c r="N30" s="304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35">
      <c r="A31" s="18" t="s">
        <v>72</v>
      </c>
      <c r="B31" s="115"/>
      <c r="C31" s="116"/>
      <c r="D31" s="115"/>
      <c r="E31" s="90"/>
      <c r="F31" s="117"/>
      <c r="G31" s="115"/>
      <c r="H31" s="134"/>
      <c r="I31" s="133"/>
      <c r="J31" s="135"/>
      <c r="K31" s="13"/>
      <c r="L31" s="13"/>
      <c r="M31" s="13"/>
      <c r="N31" s="14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9.5" customHeight="1" x14ac:dyDescent="0.35">
      <c r="A32" s="112" t="s">
        <v>39</v>
      </c>
      <c r="B32" s="128" t="s">
        <v>145</v>
      </c>
      <c r="C32" s="128" t="s">
        <v>146</v>
      </c>
      <c r="D32" s="127" t="s">
        <v>93</v>
      </c>
      <c r="E32" s="127">
        <v>0</v>
      </c>
      <c r="F32" s="200" t="s">
        <v>78</v>
      </c>
      <c r="G32" s="127" t="s">
        <v>40</v>
      </c>
      <c r="H32" s="127" t="s">
        <v>245</v>
      </c>
      <c r="I32" s="198">
        <v>2</v>
      </c>
      <c r="J32" s="131">
        <v>6</v>
      </c>
      <c r="K32" s="35">
        <v>18</v>
      </c>
      <c r="L32" s="30"/>
      <c r="M32" s="30"/>
      <c r="N32" s="322" t="s">
        <v>74</v>
      </c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.75" customHeight="1" x14ac:dyDescent="0.35">
      <c r="A33" s="113"/>
      <c r="B33" s="128" t="s">
        <v>145</v>
      </c>
      <c r="C33" s="128" t="s">
        <v>146</v>
      </c>
      <c r="D33" s="127" t="s">
        <v>92</v>
      </c>
      <c r="E33" s="127">
        <v>0</v>
      </c>
      <c r="F33" s="200" t="s">
        <v>242</v>
      </c>
      <c r="G33" s="127" t="s">
        <v>38</v>
      </c>
      <c r="H33" s="127" t="s">
        <v>245</v>
      </c>
      <c r="I33" s="198">
        <v>2</v>
      </c>
      <c r="J33" s="131">
        <v>6</v>
      </c>
      <c r="K33" s="35"/>
      <c r="L33" s="30"/>
      <c r="M33" s="30"/>
      <c r="N33" s="30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.75" customHeight="1" x14ac:dyDescent="0.35">
      <c r="A34" s="113"/>
      <c r="B34" s="128" t="s">
        <v>202</v>
      </c>
      <c r="C34" s="128" t="s">
        <v>203</v>
      </c>
      <c r="D34" s="127" t="s">
        <v>62</v>
      </c>
      <c r="E34" s="127">
        <v>0</v>
      </c>
      <c r="F34" s="200" t="s">
        <v>242</v>
      </c>
      <c r="G34" s="127" t="s">
        <v>34</v>
      </c>
      <c r="H34" s="127" t="s">
        <v>76</v>
      </c>
      <c r="I34" s="198">
        <v>1</v>
      </c>
      <c r="J34" s="131">
        <v>3</v>
      </c>
      <c r="K34" s="35"/>
      <c r="L34" s="30"/>
      <c r="M34" s="30"/>
      <c r="N34" s="14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35">
      <c r="A35" s="113"/>
      <c r="B35" s="128" t="s">
        <v>202</v>
      </c>
      <c r="C35" s="128" t="s">
        <v>203</v>
      </c>
      <c r="D35" s="127" t="s">
        <v>64</v>
      </c>
      <c r="E35" s="127">
        <v>0</v>
      </c>
      <c r="F35" s="200" t="s">
        <v>242</v>
      </c>
      <c r="G35" s="127" t="s">
        <v>36</v>
      </c>
      <c r="H35" s="127" t="s">
        <v>55</v>
      </c>
      <c r="I35" s="198">
        <v>1</v>
      </c>
      <c r="J35" s="131">
        <v>3</v>
      </c>
      <c r="K35" s="35"/>
      <c r="L35" s="30"/>
      <c r="M35" s="30"/>
      <c r="N35" s="14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35">
      <c r="A36" s="113"/>
      <c r="B36" s="128" t="s">
        <v>231</v>
      </c>
      <c r="C36" s="109" t="s">
        <v>250</v>
      </c>
      <c r="D36" s="127" t="s">
        <v>272</v>
      </c>
      <c r="E36" s="127"/>
      <c r="F36" s="200" t="s">
        <v>271</v>
      </c>
      <c r="G36" s="127" t="s">
        <v>31</v>
      </c>
      <c r="H36" s="127" t="s">
        <v>438</v>
      </c>
      <c r="I36" s="227">
        <v>3</v>
      </c>
      <c r="J36" s="131">
        <v>3</v>
      </c>
      <c r="K36" s="35"/>
      <c r="L36" s="30"/>
      <c r="M36" s="30"/>
      <c r="N36" s="14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35">
      <c r="A37" s="129"/>
      <c r="B37" s="201" t="s">
        <v>56</v>
      </c>
      <c r="C37" s="201" t="s">
        <v>68</v>
      </c>
      <c r="D37" s="201" t="s">
        <v>69</v>
      </c>
      <c r="E37" s="200" t="s">
        <v>77</v>
      </c>
      <c r="F37" s="202" t="s">
        <v>244</v>
      </c>
      <c r="G37" s="200" t="s">
        <v>29</v>
      </c>
      <c r="H37" s="200" t="s">
        <v>58</v>
      </c>
      <c r="I37" s="199">
        <v>1</v>
      </c>
      <c r="J37" s="60">
        <v>1.2</v>
      </c>
      <c r="K37" s="283"/>
      <c r="L37" s="283"/>
      <c r="M37" s="283"/>
      <c r="N37" s="14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35">
      <c r="A38" s="306" t="s">
        <v>28</v>
      </c>
      <c r="B38" s="318"/>
      <c r="C38" s="318"/>
      <c r="D38" s="318"/>
      <c r="E38" s="318"/>
      <c r="F38" s="318"/>
      <c r="G38" s="318"/>
      <c r="H38" s="319"/>
      <c r="I38" s="56">
        <f>SUM(H32:H34)</f>
        <v>0</v>
      </c>
      <c r="J38" s="56">
        <f>SUM(J32:J37)</f>
        <v>22.2</v>
      </c>
      <c r="K38" s="56">
        <v>18</v>
      </c>
      <c r="L38" s="56">
        <f>(J38-K38)</f>
        <v>4.1999999999999993</v>
      </c>
      <c r="M38" s="56">
        <f>SUM(M32:M34)</f>
        <v>0</v>
      </c>
      <c r="N38" s="14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5.75" customHeight="1" x14ac:dyDescent="0.35">
      <c r="A40" s="18" t="s">
        <v>79</v>
      </c>
      <c r="B40" s="115"/>
      <c r="C40" s="29"/>
      <c r="D40" s="115"/>
      <c r="E40" s="90"/>
      <c r="F40" s="117"/>
      <c r="G40" s="115"/>
      <c r="H40" s="115"/>
      <c r="I40" s="115"/>
      <c r="J40" s="13"/>
      <c r="K40" s="13"/>
      <c r="L40" s="13"/>
      <c r="M40" s="13"/>
      <c r="N40" s="14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35">
      <c r="A41" s="112" t="s">
        <v>39</v>
      </c>
      <c r="B41" s="128" t="s">
        <v>187</v>
      </c>
      <c r="C41" s="128" t="s">
        <v>230</v>
      </c>
      <c r="D41" s="127" t="s">
        <v>62</v>
      </c>
      <c r="E41" s="127"/>
      <c r="F41" s="127" t="s">
        <v>228</v>
      </c>
      <c r="G41" s="127" t="s">
        <v>40</v>
      </c>
      <c r="H41" s="127" t="s">
        <v>65</v>
      </c>
      <c r="I41" s="155">
        <v>3</v>
      </c>
      <c r="J41" s="114">
        <v>3</v>
      </c>
      <c r="K41" s="49">
        <v>18</v>
      </c>
      <c r="L41" s="30"/>
      <c r="M41" s="30"/>
      <c r="N41" s="14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35">
      <c r="A42" s="112"/>
      <c r="B42" s="128" t="s">
        <v>187</v>
      </c>
      <c r="C42" s="128" t="s">
        <v>229</v>
      </c>
      <c r="D42" s="127" t="s">
        <v>62</v>
      </c>
      <c r="E42" s="127"/>
      <c r="F42" s="206" t="s">
        <v>103</v>
      </c>
      <c r="G42" s="127" t="s">
        <v>32</v>
      </c>
      <c r="H42" s="127" t="s">
        <v>245</v>
      </c>
      <c r="I42" s="155">
        <v>1</v>
      </c>
      <c r="J42" s="114">
        <v>3</v>
      </c>
      <c r="K42" s="49"/>
      <c r="L42" s="30"/>
      <c r="M42" s="30"/>
      <c r="N42" s="14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35">
      <c r="A43" s="112"/>
      <c r="B43" s="128" t="s">
        <v>213</v>
      </c>
      <c r="C43" s="128" t="s">
        <v>214</v>
      </c>
      <c r="D43" s="127" t="s">
        <v>98</v>
      </c>
      <c r="E43" s="127"/>
      <c r="F43" s="206" t="s">
        <v>103</v>
      </c>
      <c r="G43" s="127" t="s">
        <v>34</v>
      </c>
      <c r="H43" s="127" t="s">
        <v>67</v>
      </c>
      <c r="I43" s="155">
        <v>3</v>
      </c>
      <c r="J43" s="114">
        <v>3</v>
      </c>
      <c r="K43" s="51"/>
      <c r="L43" s="30"/>
      <c r="M43" s="30"/>
      <c r="N43" s="14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35">
      <c r="A44" s="115"/>
      <c r="B44" s="205" t="s">
        <v>56</v>
      </c>
      <c r="C44" s="205" t="s">
        <v>57</v>
      </c>
      <c r="D44" s="203" t="s">
        <v>235</v>
      </c>
      <c r="E44" s="207" t="s">
        <v>82</v>
      </c>
      <c r="F44" s="208" t="s">
        <v>30</v>
      </c>
      <c r="G44" s="207" t="s">
        <v>29</v>
      </c>
      <c r="H44" s="207" t="s">
        <v>58</v>
      </c>
      <c r="I44" s="158">
        <v>1</v>
      </c>
      <c r="J44" s="158">
        <v>1</v>
      </c>
      <c r="K44" s="51"/>
      <c r="L44" s="30"/>
      <c r="M44" s="30"/>
      <c r="N44" s="14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35">
      <c r="A45" s="133"/>
      <c r="B45" s="201" t="s">
        <v>222</v>
      </c>
      <c r="C45" s="13" t="s">
        <v>59</v>
      </c>
      <c r="D45" s="204" t="s">
        <v>232</v>
      </c>
      <c r="E45" s="209"/>
      <c r="F45" s="206" t="s">
        <v>103</v>
      </c>
      <c r="G45" s="209" t="s">
        <v>36</v>
      </c>
      <c r="H45" s="209" t="s">
        <v>257</v>
      </c>
      <c r="I45" s="123">
        <v>1</v>
      </c>
      <c r="J45" s="123">
        <v>3</v>
      </c>
      <c r="K45" s="157"/>
      <c r="L45" s="30"/>
      <c r="M45" s="30"/>
      <c r="N45" s="14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35">
      <c r="A46" s="133"/>
      <c r="B46" s="201" t="s">
        <v>222</v>
      </c>
      <c r="C46" s="13" t="s">
        <v>59</v>
      </c>
      <c r="D46" s="204" t="s">
        <v>233</v>
      </c>
      <c r="E46" s="209"/>
      <c r="F46" s="206" t="s">
        <v>103</v>
      </c>
      <c r="G46" s="209" t="s">
        <v>29</v>
      </c>
      <c r="H46" s="209" t="s">
        <v>257</v>
      </c>
      <c r="I46" s="123">
        <v>1</v>
      </c>
      <c r="J46" s="123">
        <v>3</v>
      </c>
      <c r="K46" s="157"/>
      <c r="L46" s="30"/>
      <c r="M46" s="30"/>
      <c r="N46" s="14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35">
      <c r="A47" s="133"/>
      <c r="B47" s="201" t="s">
        <v>222</v>
      </c>
      <c r="C47" s="13" t="s">
        <v>59</v>
      </c>
      <c r="D47" s="204" t="s">
        <v>234</v>
      </c>
      <c r="E47" s="209"/>
      <c r="F47" s="188" t="s">
        <v>127</v>
      </c>
      <c r="G47" s="209" t="s">
        <v>29</v>
      </c>
      <c r="H47" s="209" t="s">
        <v>257</v>
      </c>
      <c r="I47" s="123">
        <v>1</v>
      </c>
      <c r="J47" s="123">
        <v>3</v>
      </c>
      <c r="K47" s="157"/>
      <c r="L47" s="30"/>
      <c r="M47" s="30"/>
      <c r="N47" s="14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35">
      <c r="A48" s="133"/>
      <c r="B48" s="128" t="s">
        <v>231</v>
      </c>
      <c r="C48" s="109" t="s">
        <v>250</v>
      </c>
      <c r="D48" s="127" t="s">
        <v>430</v>
      </c>
      <c r="E48" s="209"/>
      <c r="F48" s="188" t="s">
        <v>431</v>
      </c>
      <c r="G48" s="209" t="s">
        <v>27</v>
      </c>
      <c r="H48" s="209" t="s">
        <v>432</v>
      </c>
      <c r="I48" s="123">
        <v>3</v>
      </c>
      <c r="J48" s="123">
        <v>3</v>
      </c>
      <c r="K48" s="157"/>
      <c r="L48" s="30"/>
      <c r="M48" s="30"/>
      <c r="N48" s="14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35">
      <c r="A49" s="133"/>
      <c r="B49" s="128" t="s">
        <v>151</v>
      </c>
      <c r="C49" s="128" t="s">
        <v>152</v>
      </c>
      <c r="D49" s="127" t="s">
        <v>92</v>
      </c>
      <c r="E49" s="127">
        <v>0</v>
      </c>
      <c r="F49" s="206" t="s">
        <v>103</v>
      </c>
      <c r="G49" s="127" t="s">
        <v>153</v>
      </c>
      <c r="H49" s="127" t="s">
        <v>55</v>
      </c>
      <c r="I49" s="101"/>
      <c r="J49" s="101"/>
      <c r="K49" s="157"/>
      <c r="L49" s="30"/>
      <c r="M49" s="30"/>
      <c r="N49" s="14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35">
      <c r="A50" s="323" t="s">
        <v>28</v>
      </c>
      <c r="B50" s="318"/>
      <c r="C50" s="318"/>
      <c r="D50" s="318"/>
      <c r="E50" s="318"/>
      <c r="F50" s="318"/>
      <c r="G50" s="318"/>
      <c r="H50" s="319"/>
      <c r="I50" s="159">
        <f>SUM(I41:I43)</f>
        <v>7</v>
      </c>
      <c r="J50" s="159">
        <f>SUM(J41:J48)</f>
        <v>22</v>
      </c>
      <c r="K50" s="56">
        <v>18</v>
      </c>
      <c r="L50" s="56">
        <f>(J50-K50)</f>
        <v>4</v>
      </c>
      <c r="M50" s="56">
        <f>SUM(M40:M43)</f>
        <v>0</v>
      </c>
      <c r="N50" s="14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35">
      <c r="A51" s="62"/>
      <c r="B51" s="31"/>
      <c r="C51" s="32"/>
      <c r="D51" s="62"/>
      <c r="E51" s="12"/>
      <c r="F51" s="62"/>
      <c r="G51" s="62"/>
      <c r="H51" s="62"/>
      <c r="I51" s="62"/>
      <c r="J51" s="62"/>
      <c r="K51" s="62"/>
      <c r="L51" s="62"/>
      <c r="M51" s="62"/>
      <c r="N51" s="32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5.75" customHeight="1" x14ac:dyDescent="0.35">
      <c r="A52" s="62" t="s">
        <v>84</v>
      </c>
      <c r="B52" s="115"/>
      <c r="C52" s="29"/>
      <c r="D52" s="115"/>
      <c r="E52" s="90"/>
      <c r="F52" s="117"/>
      <c r="G52" s="115"/>
      <c r="H52" s="115"/>
      <c r="I52" s="115"/>
      <c r="J52" s="13"/>
      <c r="K52" s="13"/>
      <c r="L52" s="13"/>
      <c r="M52" s="13"/>
      <c r="N52" s="14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38.25" customHeight="1" x14ac:dyDescent="0.35">
      <c r="A53" s="210" t="s">
        <v>26</v>
      </c>
      <c r="B53" s="128" t="s">
        <v>178</v>
      </c>
      <c r="C53" s="128" t="s">
        <v>238</v>
      </c>
      <c r="D53" s="127" t="s">
        <v>73</v>
      </c>
      <c r="E53" s="127">
        <v>0</v>
      </c>
      <c r="F53" s="127" t="s">
        <v>236</v>
      </c>
      <c r="G53" s="127" t="s">
        <v>27</v>
      </c>
      <c r="H53" s="127" t="s">
        <v>53</v>
      </c>
      <c r="I53" s="211">
        <v>3</v>
      </c>
      <c r="J53" s="212">
        <v>3</v>
      </c>
      <c r="K53" s="213">
        <v>12</v>
      </c>
      <c r="L53" s="28"/>
      <c r="M53" s="28">
        <v>6</v>
      </c>
      <c r="N53" s="36" t="s">
        <v>85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27" customHeight="1" x14ac:dyDescent="0.35">
      <c r="A54" s="214"/>
      <c r="B54" s="195" t="s">
        <v>178</v>
      </c>
      <c r="C54" s="195" t="s">
        <v>239</v>
      </c>
      <c r="D54" s="196" t="s">
        <v>73</v>
      </c>
      <c r="E54" s="196">
        <v>0</v>
      </c>
      <c r="F54" s="194" t="s">
        <v>78</v>
      </c>
      <c r="G54" s="196" t="s">
        <v>29</v>
      </c>
      <c r="H54" s="196" t="s">
        <v>53</v>
      </c>
      <c r="I54" s="215">
        <v>1</v>
      </c>
      <c r="J54" s="216">
        <v>3</v>
      </c>
      <c r="K54" s="217"/>
      <c r="L54" s="163"/>
      <c r="M54" s="28"/>
      <c r="N54" s="36" t="s">
        <v>87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20.25" customHeight="1" x14ac:dyDescent="0.35">
      <c r="A55" s="218"/>
      <c r="B55" s="128" t="s">
        <v>128</v>
      </c>
      <c r="C55" s="128" t="s">
        <v>130</v>
      </c>
      <c r="D55" s="127" t="s">
        <v>99</v>
      </c>
      <c r="E55" s="127">
        <v>0</v>
      </c>
      <c r="F55" s="127" t="s">
        <v>248</v>
      </c>
      <c r="G55" s="127" t="s">
        <v>240</v>
      </c>
      <c r="H55" s="127" t="s">
        <v>255</v>
      </c>
      <c r="I55" s="226">
        <v>2</v>
      </c>
      <c r="J55" s="131">
        <v>2</v>
      </c>
      <c r="K55" s="219"/>
      <c r="L55" s="165"/>
      <c r="M55" s="161"/>
      <c r="N55" s="63" t="s">
        <v>74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34.5" customHeight="1" x14ac:dyDescent="0.35">
      <c r="A56" s="201"/>
      <c r="B56" s="128" t="s">
        <v>128</v>
      </c>
      <c r="C56" s="128" t="s">
        <v>130</v>
      </c>
      <c r="D56" s="127" t="s">
        <v>99</v>
      </c>
      <c r="E56" s="127">
        <v>0</v>
      </c>
      <c r="F56" s="152">
        <v>45963</v>
      </c>
      <c r="G56" s="127" t="s">
        <v>37</v>
      </c>
      <c r="H56" s="127" t="s">
        <v>53</v>
      </c>
      <c r="I56" s="226">
        <v>1</v>
      </c>
      <c r="J56" s="131">
        <v>3</v>
      </c>
      <c r="K56" s="219"/>
      <c r="L56" s="167"/>
      <c r="M56" s="162"/>
      <c r="N56" s="36" t="s">
        <v>88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 x14ac:dyDescent="0.35">
      <c r="A57" s="220"/>
      <c r="B57" s="197" t="s">
        <v>56</v>
      </c>
      <c r="C57" s="197" t="s">
        <v>68</v>
      </c>
      <c r="D57" s="197" t="s">
        <v>69</v>
      </c>
      <c r="E57" s="194" t="s">
        <v>89</v>
      </c>
      <c r="F57" s="194" t="s">
        <v>246</v>
      </c>
      <c r="G57" s="222" t="s">
        <v>29</v>
      </c>
      <c r="H57" s="194" t="s">
        <v>58</v>
      </c>
      <c r="I57" s="221">
        <v>1</v>
      </c>
      <c r="J57" s="221">
        <v>1</v>
      </c>
      <c r="K57" s="221"/>
      <c r="L57" s="164"/>
      <c r="M57" s="61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35">
      <c r="A58" s="306" t="s">
        <v>28</v>
      </c>
      <c r="B58" s="303"/>
      <c r="C58" s="303"/>
      <c r="D58" s="303"/>
      <c r="E58" s="303"/>
      <c r="F58" s="303"/>
      <c r="G58" s="303"/>
      <c r="H58" s="304"/>
      <c r="I58" s="56">
        <f>SUM(I53:I57)</f>
        <v>8</v>
      </c>
      <c r="J58" s="56">
        <f>SUM(J53:J57)</f>
        <v>12</v>
      </c>
      <c r="K58" s="56">
        <v>12</v>
      </c>
      <c r="L58" s="56">
        <f>(J58-K58)</f>
        <v>0</v>
      </c>
      <c r="M58" s="56">
        <f>SUM(M52:M56)</f>
        <v>6</v>
      </c>
      <c r="N58" s="63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35">
      <c r="A59" s="302"/>
      <c r="B59" s="303"/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  <c r="N59" s="30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5.75" customHeight="1" x14ac:dyDescent="0.35">
      <c r="A60" s="65" t="s">
        <v>90</v>
      </c>
      <c r="B60" s="13"/>
      <c r="C60" s="26"/>
      <c r="D60" s="13"/>
      <c r="E60" s="15"/>
      <c r="F60" s="16"/>
      <c r="G60" s="13"/>
      <c r="H60" s="13"/>
      <c r="I60" s="13"/>
      <c r="J60" s="13"/>
      <c r="K60" s="13"/>
      <c r="L60" s="13"/>
      <c r="M60" s="13"/>
      <c r="N60" s="14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4" customHeight="1" x14ac:dyDescent="0.35">
      <c r="A61" s="13" t="s">
        <v>39</v>
      </c>
      <c r="B61" s="128" t="s">
        <v>193</v>
      </c>
      <c r="C61" s="128" t="s">
        <v>194</v>
      </c>
      <c r="D61" s="127" t="s">
        <v>62</v>
      </c>
      <c r="E61" s="127">
        <v>0</v>
      </c>
      <c r="F61" s="127" t="s">
        <v>264</v>
      </c>
      <c r="G61" s="127" t="s">
        <v>40</v>
      </c>
      <c r="H61" s="127" t="s">
        <v>66</v>
      </c>
      <c r="I61" s="301">
        <v>3</v>
      </c>
      <c r="J61" s="131">
        <v>3</v>
      </c>
      <c r="K61" s="35">
        <v>15</v>
      </c>
      <c r="L61" s="31"/>
      <c r="M61" s="35">
        <v>3</v>
      </c>
      <c r="N61" s="36" t="s">
        <v>91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8" customHeight="1" x14ac:dyDescent="0.35">
      <c r="A62" s="181"/>
      <c r="B62" s="128" t="s">
        <v>193</v>
      </c>
      <c r="C62" s="128" t="s">
        <v>194</v>
      </c>
      <c r="D62" s="127" t="s">
        <v>64</v>
      </c>
      <c r="E62" s="127">
        <v>0</v>
      </c>
      <c r="F62" s="127" t="s">
        <v>265</v>
      </c>
      <c r="G62" s="127" t="s">
        <v>46</v>
      </c>
      <c r="H62" s="127"/>
      <c r="I62" s="183">
        <v>3</v>
      </c>
      <c r="J62" s="131">
        <v>3</v>
      </c>
      <c r="K62" s="66"/>
      <c r="L62" s="31"/>
      <c r="M62" s="31"/>
      <c r="N62" s="36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4.25" customHeight="1" x14ac:dyDescent="0.35">
      <c r="A63" s="181"/>
      <c r="B63" s="128" t="s">
        <v>128</v>
      </c>
      <c r="C63" s="128" t="s">
        <v>130</v>
      </c>
      <c r="D63" s="127" t="s">
        <v>98</v>
      </c>
      <c r="E63" s="127">
        <v>0</v>
      </c>
      <c r="F63" s="127" t="s">
        <v>267</v>
      </c>
      <c r="G63" s="127" t="s">
        <v>38</v>
      </c>
      <c r="H63" s="127" t="s">
        <v>266</v>
      </c>
      <c r="I63" s="183">
        <v>2</v>
      </c>
      <c r="J63" s="131">
        <v>2</v>
      </c>
      <c r="K63" s="66"/>
      <c r="L63" s="31"/>
      <c r="M63" s="31"/>
      <c r="N63" s="36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 x14ac:dyDescent="0.35">
      <c r="A64" s="181"/>
      <c r="B64" s="128" t="s">
        <v>128</v>
      </c>
      <c r="C64" s="128" t="s">
        <v>130</v>
      </c>
      <c r="D64" s="127" t="s">
        <v>98</v>
      </c>
      <c r="E64" s="127">
        <v>0</v>
      </c>
      <c r="F64" s="127" t="s">
        <v>268</v>
      </c>
      <c r="G64" s="127" t="s">
        <v>36</v>
      </c>
      <c r="H64" s="127" t="s">
        <v>53</v>
      </c>
      <c r="I64" s="183">
        <v>1</v>
      </c>
      <c r="J64" s="131">
        <v>3</v>
      </c>
      <c r="K64" s="66"/>
      <c r="L64" s="31"/>
      <c r="M64" s="31"/>
      <c r="N64" s="36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 x14ac:dyDescent="0.35">
      <c r="A65" s="181"/>
      <c r="B65" s="128" t="s">
        <v>261</v>
      </c>
      <c r="C65" s="177" t="s">
        <v>142</v>
      </c>
      <c r="D65" s="127" t="s">
        <v>92</v>
      </c>
      <c r="E65" s="127">
        <v>0</v>
      </c>
      <c r="F65" s="127" t="s">
        <v>258</v>
      </c>
      <c r="G65" s="127" t="s">
        <v>31</v>
      </c>
      <c r="H65" s="127" t="s">
        <v>260</v>
      </c>
      <c r="I65" s="183">
        <v>3</v>
      </c>
      <c r="J65" s="131">
        <v>3</v>
      </c>
      <c r="K65" s="66"/>
      <c r="L65" s="31"/>
      <c r="M65" s="31"/>
      <c r="N65" s="36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 x14ac:dyDescent="0.35">
      <c r="A66" s="181"/>
      <c r="B66" s="128" t="s">
        <v>261</v>
      </c>
      <c r="C66" s="177" t="s">
        <v>142</v>
      </c>
      <c r="D66" s="127" t="s">
        <v>93</v>
      </c>
      <c r="E66" s="127">
        <v>0</v>
      </c>
      <c r="F66" s="152" t="s">
        <v>259</v>
      </c>
      <c r="G66" s="127" t="s">
        <v>45</v>
      </c>
      <c r="H66" s="127" t="s">
        <v>66</v>
      </c>
      <c r="I66" s="183">
        <v>3</v>
      </c>
      <c r="J66" s="131">
        <v>3</v>
      </c>
      <c r="K66" s="66"/>
      <c r="L66" s="31"/>
      <c r="M66" s="31"/>
      <c r="N66" s="36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 x14ac:dyDescent="0.35">
      <c r="A67" s="181"/>
      <c r="B67" s="218" t="s">
        <v>231</v>
      </c>
      <c r="C67" s="109" t="s">
        <v>250</v>
      </c>
      <c r="D67" s="229" t="s">
        <v>424</v>
      </c>
      <c r="E67" s="284">
        <v>0</v>
      </c>
      <c r="F67" s="285" t="s">
        <v>421</v>
      </c>
      <c r="G67" s="284" t="s">
        <v>27</v>
      </c>
      <c r="H67" s="284" t="s">
        <v>422</v>
      </c>
      <c r="I67" s="286">
        <v>3</v>
      </c>
      <c r="J67" s="131">
        <v>3</v>
      </c>
      <c r="K67" s="66"/>
      <c r="L67" s="31"/>
      <c r="M67" s="31"/>
      <c r="N67" s="36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 x14ac:dyDescent="0.35">
      <c r="A68" s="52"/>
      <c r="B68" s="13" t="s">
        <v>56</v>
      </c>
      <c r="C68" s="118" t="s">
        <v>68</v>
      </c>
      <c r="D68" s="13" t="s">
        <v>69</v>
      </c>
      <c r="E68" s="40" t="s">
        <v>94</v>
      </c>
      <c r="F68" s="34" t="s">
        <v>75</v>
      </c>
      <c r="G68" s="40" t="s">
        <v>32</v>
      </c>
      <c r="H68" s="68" t="s">
        <v>67</v>
      </c>
      <c r="I68" s="69">
        <v>1</v>
      </c>
      <c r="J68" s="69">
        <v>0.2</v>
      </c>
      <c r="K68" s="70"/>
      <c r="L68" s="70"/>
      <c r="M68" s="70"/>
      <c r="N68" s="14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35">
      <c r="A69" s="306" t="s">
        <v>28</v>
      </c>
      <c r="B69" s="303"/>
      <c r="C69" s="303"/>
      <c r="D69" s="303"/>
      <c r="E69" s="303"/>
      <c r="F69" s="303"/>
      <c r="G69" s="303"/>
      <c r="H69" s="304"/>
      <c r="I69" s="56">
        <f>SUM(I59:I65)</f>
        <v>12</v>
      </c>
      <c r="J69" s="56">
        <f>SUM(J61:J68)</f>
        <v>20.2</v>
      </c>
      <c r="K69" s="56">
        <v>15</v>
      </c>
      <c r="L69" s="56">
        <f>(J69-K69)</f>
        <v>5.1999999999999993</v>
      </c>
      <c r="M69" s="56">
        <v>3</v>
      </c>
      <c r="N69" s="14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35">
      <c r="A70" s="302"/>
      <c r="B70" s="303"/>
      <c r="C70" s="303"/>
      <c r="D70" s="303"/>
      <c r="E70" s="303"/>
      <c r="F70" s="303"/>
      <c r="G70" s="303"/>
      <c r="H70" s="303"/>
      <c r="I70" s="314"/>
      <c r="J70" s="303"/>
      <c r="K70" s="303"/>
      <c r="L70" s="303"/>
      <c r="M70" s="303"/>
      <c r="N70" s="30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5.75" customHeight="1" x14ac:dyDescent="0.35">
      <c r="A71" s="18" t="s">
        <v>95</v>
      </c>
      <c r="B71" s="115"/>
      <c r="C71" s="116"/>
      <c r="D71" s="115"/>
      <c r="E71" s="90"/>
      <c r="F71" s="117"/>
      <c r="G71" s="115"/>
      <c r="H71" s="134"/>
      <c r="I71" s="133"/>
      <c r="J71" s="135"/>
      <c r="K71" s="13"/>
      <c r="L71" s="13"/>
      <c r="M71" s="13"/>
      <c r="N71" s="14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35">
      <c r="A72" s="112" t="s">
        <v>26</v>
      </c>
      <c r="B72" s="136" t="s">
        <v>178</v>
      </c>
      <c r="C72" s="136" t="s">
        <v>179</v>
      </c>
      <c r="D72" s="126" t="s">
        <v>86</v>
      </c>
      <c r="E72" s="126">
        <v>0</v>
      </c>
      <c r="F72" s="126" t="s">
        <v>262</v>
      </c>
      <c r="G72" s="126" t="s">
        <v>237</v>
      </c>
      <c r="H72" s="139" t="s">
        <v>55</v>
      </c>
      <c r="I72" s="111">
        <v>3</v>
      </c>
      <c r="J72" s="114">
        <v>3</v>
      </c>
      <c r="K72" s="49">
        <v>18</v>
      </c>
      <c r="L72" s="30"/>
      <c r="M72" s="30"/>
      <c r="N72" s="71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 x14ac:dyDescent="0.35">
      <c r="A73" s="112"/>
      <c r="B73" s="136" t="s">
        <v>178</v>
      </c>
      <c r="C73" s="136" t="s">
        <v>179</v>
      </c>
      <c r="D73" s="126" t="s">
        <v>86</v>
      </c>
      <c r="E73" s="126">
        <v>0</v>
      </c>
      <c r="F73" s="126" t="s">
        <v>127</v>
      </c>
      <c r="G73" s="126" t="s">
        <v>32</v>
      </c>
      <c r="H73" s="139" t="s">
        <v>55</v>
      </c>
      <c r="I73" s="111">
        <v>1</v>
      </c>
      <c r="J73" s="114">
        <v>3</v>
      </c>
      <c r="K73" s="49"/>
      <c r="L73" s="30"/>
      <c r="M73" s="30"/>
      <c r="N73" s="71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30" customHeight="1" x14ac:dyDescent="0.35">
      <c r="A74" s="113"/>
      <c r="B74" s="136" t="s">
        <v>199</v>
      </c>
      <c r="C74" s="136" t="s">
        <v>129</v>
      </c>
      <c r="D74" s="126" t="s">
        <v>64</v>
      </c>
      <c r="E74" s="126">
        <v>0</v>
      </c>
      <c r="F74" s="153" t="s">
        <v>251</v>
      </c>
      <c r="G74" s="126" t="s">
        <v>32</v>
      </c>
      <c r="H74" s="139" t="s">
        <v>47</v>
      </c>
      <c r="I74" s="111">
        <v>2</v>
      </c>
      <c r="J74" s="114">
        <v>2</v>
      </c>
      <c r="K74" s="51"/>
      <c r="L74" s="30"/>
      <c r="M74" s="30"/>
      <c r="N74" s="47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29.25" customHeight="1" x14ac:dyDescent="0.35">
      <c r="A75" s="113"/>
      <c r="B75" s="136" t="s">
        <v>33</v>
      </c>
      <c r="C75" s="136" t="s">
        <v>220</v>
      </c>
      <c r="D75" s="126" t="s">
        <v>98</v>
      </c>
      <c r="E75" s="126">
        <v>0</v>
      </c>
      <c r="F75" s="74" t="s">
        <v>78</v>
      </c>
      <c r="G75" s="126" t="s">
        <v>37</v>
      </c>
      <c r="H75" s="139" t="s">
        <v>67</v>
      </c>
      <c r="I75" s="111">
        <v>3</v>
      </c>
      <c r="J75" s="114">
        <v>3</v>
      </c>
      <c r="K75" s="51"/>
      <c r="L75" s="30"/>
      <c r="M75" s="30"/>
      <c r="N75" s="71" t="s">
        <v>97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 x14ac:dyDescent="0.35">
      <c r="A76" s="113"/>
      <c r="B76" s="136" t="s">
        <v>33</v>
      </c>
      <c r="C76" s="136" t="s">
        <v>220</v>
      </c>
      <c r="D76" s="126" t="s">
        <v>99</v>
      </c>
      <c r="E76" s="126">
        <v>0</v>
      </c>
      <c r="F76" s="34" t="s">
        <v>80</v>
      </c>
      <c r="G76" s="126" t="s">
        <v>34</v>
      </c>
      <c r="H76" s="139" t="s">
        <v>67</v>
      </c>
      <c r="I76" s="111">
        <v>3</v>
      </c>
      <c r="J76" s="114">
        <v>3</v>
      </c>
      <c r="K76" s="51"/>
      <c r="L76" s="30"/>
      <c r="M76" s="30"/>
      <c r="N76" s="47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 customHeight="1" x14ac:dyDescent="0.35">
      <c r="A77" s="113"/>
      <c r="B77" s="218" t="s">
        <v>231</v>
      </c>
      <c r="C77" s="109" t="s">
        <v>250</v>
      </c>
      <c r="D77" s="229" t="s">
        <v>269</v>
      </c>
      <c r="E77" s="229">
        <v>0</v>
      </c>
      <c r="F77" s="34" t="s">
        <v>270</v>
      </c>
      <c r="G77" s="229" t="s">
        <v>38</v>
      </c>
      <c r="H77" s="229" t="s">
        <v>280</v>
      </c>
      <c r="I77" s="230">
        <v>3</v>
      </c>
      <c r="J77" s="114">
        <v>3</v>
      </c>
      <c r="K77" s="51"/>
      <c r="L77" s="30"/>
      <c r="M77" s="30"/>
      <c r="N77" s="47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 customHeight="1" x14ac:dyDescent="0.35">
      <c r="A78" s="52"/>
      <c r="B78" s="13" t="s">
        <v>56</v>
      </c>
      <c r="C78" s="13" t="s">
        <v>68</v>
      </c>
      <c r="D78" s="13" t="s">
        <v>69</v>
      </c>
      <c r="E78" s="73" t="s">
        <v>100</v>
      </c>
      <c r="F78" s="74" t="s">
        <v>101</v>
      </c>
      <c r="G78" s="75" t="s">
        <v>34</v>
      </c>
      <c r="H78" s="75" t="s">
        <v>58</v>
      </c>
      <c r="I78" s="154">
        <v>1</v>
      </c>
      <c r="J78" s="60">
        <v>1.6</v>
      </c>
      <c r="K78" s="61"/>
      <c r="L78" s="61"/>
      <c r="M78" s="61"/>
      <c r="N78" s="63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35">
      <c r="A79" s="52"/>
      <c r="B79" s="53"/>
      <c r="C79" s="13"/>
      <c r="D79" s="54"/>
      <c r="E79" s="40"/>
      <c r="F79" s="40"/>
      <c r="G79" s="40"/>
      <c r="H79" s="40"/>
      <c r="I79" s="60"/>
      <c r="J79" s="60"/>
      <c r="K79" s="61"/>
      <c r="L79" s="61"/>
      <c r="M79" s="61"/>
      <c r="N79" s="63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35">
      <c r="A80" s="306" t="s">
        <v>28</v>
      </c>
      <c r="B80" s="303"/>
      <c r="C80" s="303"/>
      <c r="D80" s="303"/>
      <c r="E80" s="303"/>
      <c r="F80" s="303"/>
      <c r="G80" s="303"/>
      <c r="H80" s="304"/>
      <c r="I80" s="56">
        <f>SUM(H72:H76)</f>
        <v>0</v>
      </c>
      <c r="J80" s="56">
        <f>SUM(J72:J78)</f>
        <v>18.600000000000001</v>
      </c>
      <c r="K80" s="56">
        <v>18</v>
      </c>
      <c r="L80" s="56">
        <f>(J80-K80)</f>
        <v>0.60000000000000142</v>
      </c>
      <c r="M80" s="56">
        <f>SUM(M72:M76)</f>
        <v>0</v>
      </c>
      <c r="N80" s="63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35">
      <c r="A81" s="302"/>
      <c r="B81" s="303"/>
      <c r="C81" s="303"/>
      <c r="D81" s="303"/>
      <c r="E81" s="303"/>
      <c r="F81" s="303"/>
      <c r="G81" s="303"/>
      <c r="H81" s="303"/>
      <c r="I81" s="303"/>
      <c r="J81" s="303"/>
      <c r="K81" s="303"/>
      <c r="L81" s="303"/>
      <c r="M81" s="303"/>
      <c r="N81" s="30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5.75" customHeight="1" x14ac:dyDescent="0.35">
      <c r="A82" s="22"/>
      <c r="B82" s="13"/>
      <c r="C82" s="14"/>
      <c r="D82" s="13"/>
      <c r="E82" s="15"/>
      <c r="F82" s="16"/>
      <c r="G82" s="13"/>
      <c r="H82" s="13"/>
      <c r="I82" s="13"/>
      <c r="J82" s="13"/>
      <c r="K82" s="13"/>
      <c r="L82" s="13"/>
      <c r="M82" s="13"/>
      <c r="N82" s="14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35">
      <c r="A83" s="22" t="s">
        <v>102</v>
      </c>
      <c r="B83" s="115"/>
      <c r="C83" s="29"/>
      <c r="D83" s="115"/>
      <c r="E83" s="90"/>
      <c r="F83" s="117"/>
      <c r="G83" s="115"/>
      <c r="H83" s="115"/>
      <c r="I83" s="115"/>
      <c r="J83" s="13"/>
      <c r="K83" s="13"/>
      <c r="L83" s="13"/>
      <c r="M83" s="13"/>
      <c r="N83" s="14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35">
      <c r="A84" s="112" t="s">
        <v>26</v>
      </c>
      <c r="B84" s="136" t="s">
        <v>187</v>
      </c>
      <c r="C84" s="136" t="s">
        <v>188</v>
      </c>
      <c r="D84" s="126" t="s">
        <v>64</v>
      </c>
      <c r="E84" s="126">
        <v>0</v>
      </c>
      <c r="F84" s="126" t="s">
        <v>264</v>
      </c>
      <c r="G84" s="126" t="s">
        <v>41</v>
      </c>
      <c r="H84" s="126" t="s">
        <v>274</v>
      </c>
      <c r="I84" s="101">
        <v>3</v>
      </c>
      <c r="J84" s="114">
        <v>3</v>
      </c>
      <c r="K84" s="49">
        <v>6</v>
      </c>
      <c r="L84" s="28"/>
      <c r="M84" s="28">
        <v>12</v>
      </c>
      <c r="N84" s="311" t="s">
        <v>104</v>
      </c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15.75" customHeight="1" x14ac:dyDescent="0.35">
      <c r="A85" s="113"/>
      <c r="B85" s="136" t="s">
        <v>187</v>
      </c>
      <c r="C85" s="136" t="s">
        <v>188</v>
      </c>
      <c r="D85" s="126" t="s">
        <v>64</v>
      </c>
      <c r="E85" s="126">
        <v>0</v>
      </c>
      <c r="F85" s="223" t="s">
        <v>103</v>
      </c>
      <c r="G85" s="126" t="s">
        <v>32</v>
      </c>
      <c r="H85" s="126" t="s">
        <v>275</v>
      </c>
      <c r="I85" s="101">
        <v>1</v>
      </c>
      <c r="J85" s="114">
        <v>3</v>
      </c>
      <c r="K85" s="51"/>
      <c r="L85" s="28"/>
      <c r="M85" s="28"/>
      <c r="N85" s="309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16.5" customHeight="1" x14ac:dyDescent="0.35">
      <c r="A86" s="52"/>
      <c r="B86" s="118" t="s">
        <v>56</v>
      </c>
      <c r="C86" s="118" t="s">
        <v>68</v>
      </c>
      <c r="D86" s="118" t="s">
        <v>69</v>
      </c>
      <c r="E86" s="168" t="s">
        <v>105</v>
      </c>
      <c r="F86" s="169" t="s">
        <v>103</v>
      </c>
      <c r="G86" s="168"/>
      <c r="H86" s="151" t="s">
        <v>58</v>
      </c>
      <c r="I86" s="154">
        <v>1</v>
      </c>
      <c r="J86" s="60">
        <v>1.2</v>
      </c>
      <c r="K86" s="61"/>
      <c r="L86" s="61"/>
      <c r="M86" s="61"/>
      <c r="N86" s="43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6.5" customHeight="1" x14ac:dyDescent="0.35">
      <c r="A87" s="306" t="s">
        <v>28</v>
      </c>
      <c r="B87" s="303"/>
      <c r="C87" s="303"/>
      <c r="D87" s="303"/>
      <c r="E87" s="303"/>
      <c r="F87" s="303"/>
      <c r="G87" s="303"/>
      <c r="H87" s="304"/>
      <c r="I87" s="56">
        <f>SUM(I84:I86)</f>
        <v>5</v>
      </c>
      <c r="J87" s="56">
        <f>SUM(J84:J86)</f>
        <v>7.2</v>
      </c>
      <c r="K87" s="56">
        <v>6</v>
      </c>
      <c r="L87" s="56">
        <f>(J87-K87)</f>
        <v>1.2000000000000002</v>
      </c>
      <c r="M87" s="56">
        <f>SUM(M83:M85)</f>
        <v>12</v>
      </c>
      <c r="N87" s="43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.75" customHeight="1" x14ac:dyDescent="0.35">
      <c r="A88" s="302"/>
      <c r="B88" s="303"/>
      <c r="C88" s="303"/>
      <c r="D88" s="303"/>
      <c r="E88" s="303"/>
      <c r="F88" s="303"/>
      <c r="G88" s="303"/>
      <c r="H88" s="303"/>
      <c r="I88" s="303"/>
      <c r="J88" s="303"/>
      <c r="K88" s="303"/>
      <c r="L88" s="303"/>
      <c r="M88" s="303"/>
      <c r="N88" s="30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5.75" customHeight="1" x14ac:dyDescent="0.35">
      <c r="A89" s="22" t="s">
        <v>106</v>
      </c>
      <c r="B89" s="115"/>
      <c r="C89" s="29"/>
      <c r="D89" s="115"/>
      <c r="E89" s="149"/>
      <c r="F89" s="150"/>
      <c r="G89" s="149"/>
      <c r="H89" s="149"/>
      <c r="I89" s="149"/>
      <c r="J89" s="33"/>
      <c r="K89" s="13"/>
      <c r="L89" s="13"/>
      <c r="M89" s="13"/>
      <c r="N89" s="14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35">
      <c r="A90" s="112" t="s">
        <v>26</v>
      </c>
      <c r="B90" s="128" t="s">
        <v>196</v>
      </c>
      <c r="C90" s="128" t="s">
        <v>197</v>
      </c>
      <c r="D90" s="127" t="s">
        <v>62</v>
      </c>
      <c r="E90" s="127">
        <v>0</v>
      </c>
      <c r="F90" s="34" t="s">
        <v>276</v>
      </c>
      <c r="G90" s="127" t="s">
        <v>32</v>
      </c>
      <c r="H90" s="127" t="s">
        <v>55</v>
      </c>
      <c r="I90" s="110">
        <v>1</v>
      </c>
      <c r="J90" s="131">
        <v>3</v>
      </c>
      <c r="K90" s="49"/>
      <c r="L90" s="28"/>
      <c r="M90" s="28">
        <v>3</v>
      </c>
      <c r="N90" s="308" t="s">
        <v>107</v>
      </c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 customHeight="1" x14ac:dyDescent="0.35">
      <c r="A91" s="113"/>
      <c r="B91" s="128" t="s">
        <v>196</v>
      </c>
      <c r="C91" s="128" t="s">
        <v>197</v>
      </c>
      <c r="D91" s="127" t="s">
        <v>62</v>
      </c>
      <c r="E91" s="127">
        <v>0</v>
      </c>
      <c r="F91" s="34" t="s">
        <v>277</v>
      </c>
      <c r="G91" s="127" t="s">
        <v>41</v>
      </c>
      <c r="H91" s="127" t="s">
        <v>266</v>
      </c>
      <c r="I91" s="110">
        <v>3</v>
      </c>
      <c r="J91" s="131">
        <v>3</v>
      </c>
      <c r="K91" s="51"/>
      <c r="L91" s="28"/>
      <c r="M91" s="28"/>
      <c r="N91" s="309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 customHeight="1" x14ac:dyDescent="0.35">
      <c r="A92" s="113"/>
      <c r="B92" s="128" t="s">
        <v>215</v>
      </c>
      <c r="C92" s="128" t="s">
        <v>216</v>
      </c>
      <c r="D92" s="127" t="s">
        <v>98</v>
      </c>
      <c r="E92" s="127">
        <v>0</v>
      </c>
      <c r="F92" s="34" t="s">
        <v>80</v>
      </c>
      <c r="G92" s="127" t="s">
        <v>37</v>
      </c>
      <c r="H92" s="127" t="s">
        <v>53</v>
      </c>
      <c r="I92" s="110">
        <v>3</v>
      </c>
      <c r="J92" s="131">
        <v>3</v>
      </c>
      <c r="K92" s="51"/>
      <c r="L92" s="28"/>
      <c r="M92" s="28"/>
      <c r="N92" s="41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5.75" customHeight="1" x14ac:dyDescent="0.35">
      <c r="A93" s="113"/>
      <c r="B93" s="128" t="s">
        <v>215</v>
      </c>
      <c r="C93" s="128" t="s">
        <v>216</v>
      </c>
      <c r="D93" s="127" t="s">
        <v>99</v>
      </c>
      <c r="E93" s="127">
        <v>0</v>
      </c>
      <c r="F93" s="34" t="s">
        <v>227</v>
      </c>
      <c r="G93" s="127" t="s">
        <v>38</v>
      </c>
      <c r="H93" s="127" t="s">
        <v>65</v>
      </c>
      <c r="I93" s="110">
        <v>3</v>
      </c>
      <c r="J93" s="131">
        <v>3</v>
      </c>
      <c r="K93" s="51"/>
      <c r="L93" s="28"/>
      <c r="M93" s="28"/>
      <c r="N93" s="47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16.5" customHeight="1" x14ac:dyDescent="0.35">
      <c r="A94" s="52"/>
      <c r="B94" s="118" t="s">
        <v>56</v>
      </c>
      <c r="C94" s="118" t="s">
        <v>68</v>
      </c>
      <c r="D94" s="118" t="s">
        <v>69</v>
      </c>
      <c r="E94" s="151" t="s">
        <v>108</v>
      </c>
      <c r="F94" s="151" t="s">
        <v>103</v>
      </c>
      <c r="G94" s="151" t="s">
        <v>37</v>
      </c>
      <c r="H94" s="151" t="s">
        <v>58</v>
      </c>
      <c r="I94" s="281">
        <v>1</v>
      </c>
      <c r="J94" s="282">
        <v>2</v>
      </c>
      <c r="K94" s="283"/>
      <c r="L94" s="283"/>
      <c r="M94" s="283"/>
      <c r="N94" s="43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6.5" customHeight="1" x14ac:dyDescent="0.35">
      <c r="A95" s="306"/>
      <c r="B95" s="303"/>
      <c r="C95" s="303"/>
      <c r="D95" s="303"/>
      <c r="E95" s="303"/>
      <c r="F95" s="303"/>
      <c r="G95" s="303"/>
      <c r="H95" s="304"/>
      <c r="I95" s="56">
        <f t="shared" ref="I95:J95" si="0">SUM(I90:I94)</f>
        <v>11</v>
      </c>
      <c r="J95" s="56">
        <f t="shared" si="0"/>
        <v>14</v>
      </c>
      <c r="K95" s="56">
        <v>12</v>
      </c>
      <c r="L95" s="56">
        <f>(J95-K95)</f>
        <v>2</v>
      </c>
      <c r="M95" s="56">
        <f>SUM(M90:M93)</f>
        <v>3</v>
      </c>
      <c r="N95" s="43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" customHeight="1" x14ac:dyDescent="0.35">
      <c r="A96" s="310"/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4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spans="1:26" ht="16.5" customHeight="1" x14ac:dyDescent="0.35">
      <c r="A97" s="22" t="s">
        <v>109</v>
      </c>
      <c r="B97" s="115"/>
      <c r="C97" s="29"/>
      <c r="D97" s="115"/>
      <c r="E97" s="90"/>
      <c r="F97" s="117"/>
      <c r="G97" s="115"/>
      <c r="H97" s="115"/>
      <c r="I97" s="115"/>
      <c r="J97" s="13"/>
      <c r="K97" s="13"/>
      <c r="L97" s="13"/>
      <c r="M97" s="13"/>
      <c r="N97" s="43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6.5" customHeight="1" x14ac:dyDescent="0.35">
      <c r="B98" s="136"/>
      <c r="C98" s="136"/>
      <c r="D98" s="126"/>
      <c r="E98" s="126"/>
      <c r="F98" s="153"/>
      <c r="G98" s="126"/>
      <c r="H98" s="126"/>
      <c r="I98" s="156"/>
      <c r="J98" s="131"/>
      <c r="L98" s="30"/>
      <c r="M98" s="30"/>
      <c r="N98" s="14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6.5" customHeight="1" x14ac:dyDescent="0.35">
      <c r="A99" s="112" t="s">
        <v>39</v>
      </c>
      <c r="B99" s="136" t="s">
        <v>145</v>
      </c>
      <c r="C99" s="136" t="s">
        <v>146</v>
      </c>
      <c r="D99" s="126" t="s">
        <v>92</v>
      </c>
      <c r="E99" s="126">
        <v>0</v>
      </c>
      <c r="F99" s="231" t="s">
        <v>276</v>
      </c>
      <c r="G99" s="126" t="s">
        <v>40</v>
      </c>
      <c r="H99" s="126" t="s">
        <v>55</v>
      </c>
      <c r="I99" s="237">
        <v>2</v>
      </c>
      <c r="J99" s="131">
        <v>6</v>
      </c>
      <c r="K99" s="35">
        <v>18</v>
      </c>
      <c r="L99" s="30"/>
      <c r="M99" s="30"/>
      <c r="N99" s="29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6.5" customHeight="1" x14ac:dyDescent="0.35">
      <c r="A100" s="113"/>
      <c r="B100" s="136" t="s">
        <v>145</v>
      </c>
      <c r="C100" s="136" t="s">
        <v>146</v>
      </c>
      <c r="D100" s="126" t="s">
        <v>83</v>
      </c>
      <c r="E100" s="126">
        <v>0</v>
      </c>
      <c r="F100" s="34" t="s">
        <v>80</v>
      </c>
      <c r="G100" s="126" t="s">
        <v>41</v>
      </c>
      <c r="H100" s="126" t="s">
        <v>55</v>
      </c>
      <c r="I100" s="237">
        <v>2</v>
      </c>
      <c r="J100" s="131">
        <v>6</v>
      </c>
      <c r="K100" s="35"/>
      <c r="L100" s="30"/>
      <c r="M100" s="292"/>
      <c r="N100" s="295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6.5" customHeight="1" x14ac:dyDescent="0.35">
      <c r="A101" s="113"/>
      <c r="B101" s="136" t="s">
        <v>189</v>
      </c>
      <c r="C101" s="136" t="s">
        <v>190</v>
      </c>
      <c r="D101" s="126" t="s">
        <v>62</v>
      </c>
      <c r="E101" s="126">
        <v>0</v>
      </c>
      <c r="F101" s="126" t="s">
        <v>282</v>
      </c>
      <c r="G101" s="126" t="s">
        <v>46</v>
      </c>
      <c r="H101" s="126" t="s">
        <v>65</v>
      </c>
      <c r="I101" s="237">
        <v>2</v>
      </c>
      <c r="J101" s="131">
        <v>2</v>
      </c>
      <c r="K101" s="35"/>
      <c r="L101" s="30"/>
      <c r="M101" s="292"/>
      <c r="N101" s="295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8.75" customHeight="1" x14ac:dyDescent="0.35">
      <c r="A102" s="170"/>
      <c r="B102" s="136" t="s">
        <v>189</v>
      </c>
      <c r="C102" s="136" t="s">
        <v>190</v>
      </c>
      <c r="D102" s="126" t="s">
        <v>64</v>
      </c>
      <c r="E102" s="126">
        <v>0</v>
      </c>
      <c r="F102" s="126" t="s">
        <v>246</v>
      </c>
      <c r="G102" s="126" t="s">
        <v>38</v>
      </c>
      <c r="H102" s="126" t="s">
        <v>66</v>
      </c>
      <c r="I102" s="237">
        <v>2</v>
      </c>
      <c r="J102" s="114">
        <v>2</v>
      </c>
      <c r="K102" s="77"/>
      <c r="L102" s="78"/>
      <c r="M102" s="293"/>
      <c r="N102" s="296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spans="1:26" ht="18.75" customHeight="1" x14ac:dyDescent="0.35">
      <c r="A103" s="170"/>
      <c r="B103" s="228" t="s">
        <v>261</v>
      </c>
      <c r="C103" s="235" t="s">
        <v>142</v>
      </c>
      <c r="D103" s="126" t="s">
        <v>83</v>
      </c>
      <c r="E103" s="101"/>
      <c r="F103" s="232" t="s">
        <v>278</v>
      </c>
      <c r="G103" s="126" t="s">
        <v>279</v>
      </c>
      <c r="H103" s="126" t="s">
        <v>280</v>
      </c>
      <c r="I103" s="238">
        <v>3</v>
      </c>
      <c r="J103" s="114">
        <v>3</v>
      </c>
      <c r="K103" s="77"/>
      <c r="L103" s="78"/>
      <c r="M103" s="293"/>
      <c r="N103" s="296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spans="1:26" ht="19.5" customHeight="1" x14ac:dyDescent="0.35">
      <c r="A104" s="13"/>
      <c r="B104" s="160" t="s">
        <v>224</v>
      </c>
      <c r="C104" s="236" t="s">
        <v>253</v>
      </c>
      <c r="D104" s="234" t="s">
        <v>254</v>
      </c>
      <c r="E104" s="234"/>
      <c r="F104" s="233" t="s">
        <v>281</v>
      </c>
      <c r="G104" s="120" t="s">
        <v>36</v>
      </c>
      <c r="H104" s="126" t="s">
        <v>66</v>
      </c>
      <c r="I104" s="132">
        <v>3</v>
      </c>
      <c r="J104" s="35">
        <v>3</v>
      </c>
      <c r="K104" s="35"/>
      <c r="L104" s="30"/>
      <c r="M104" s="292"/>
      <c r="N104" s="295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9.5" customHeight="1" x14ac:dyDescent="0.35">
      <c r="A105" s="13"/>
      <c r="B105" s="31" t="s">
        <v>56</v>
      </c>
      <c r="C105" s="31" t="s">
        <v>110</v>
      </c>
      <c r="D105" s="119" t="s">
        <v>81</v>
      </c>
      <c r="E105" s="119" t="s">
        <v>111</v>
      </c>
      <c r="F105" s="34" t="s">
        <v>80</v>
      </c>
      <c r="G105" s="37" t="s">
        <v>37</v>
      </c>
      <c r="H105" s="33" t="s">
        <v>58</v>
      </c>
      <c r="I105" s="35">
        <v>1</v>
      </c>
      <c r="J105" s="35">
        <v>1.6</v>
      </c>
      <c r="K105" s="35"/>
      <c r="L105" s="30"/>
      <c r="M105" s="30"/>
      <c r="N105" s="294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6.5" customHeight="1" x14ac:dyDescent="0.35">
      <c r="A106" s="306" t="s">
        <v>28</v>
      </c>
      <c r="B106" s="303"/>
      <c r="C106" s="303"/>
      <c r="D106" s="303"/>
      <c r="E106" s="303"/>
      <c r="F106" s="303"/>
      <c r="G106" s="303"/>
      <c r="H106" s="304"/>
      <c r="I106" s="56">
        <f t="shared" ref="I106:J106" si="1">SUM(I98:I105)</f>
        <v>15</v>
      </c>
      <c r="J106" s="56">
        <f t="shared" si="1"/>
        <v>23.6</v>
      </c>
      <c r="K106" s="56">
        <v>18</v>
      </c>
      <c r="L106" s="56">
        <f>(J106-K106)</f>
        <v>5.6000000000000014</v>
      </c>
      <c r="M106" s="56">
        <f>SUM(M98:M104)</f>
        <v>0</v>
      </c>
      <c r="N106" s="14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6.5" customHeight="1" x14ac:dyDescent="0.35">
      <c r="A107" s="310"/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4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spans="1:26" ht="16.5" customHeight="1" x14ac:dyDescent="0.35">
      <c r="A108" s="305" t="s">
        <v>112</v>
      </c>
      <c r="B108" s="304"/>
      <c r="C108" s="80" t="s">
        <v>252</v>
      </c>
      <c r="D108" s="43"/>
      <c r="E108" s="72"/>
      <c r="F108" s="81"/>
      <c r="G108" s="43"/>
      <c r="H108" s="43"/>
      <c r="I108" s="43"/>
      <c r="J108" s="43"/>
      <c r="K108" s="43"/>
      <c r="L108" s="43"/>
      <c r="M108" s="43"/>
      <c r="N108" s="43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" customHeight="1" x14ac:dyDescent="0.35">
      <c r="A109" s="14" t="s">
        <v>26</v>
      </c>
      <c r="B109" s="13"/>
      <c r="C109" s="13"/>
      <c r="D109" s="13"/>
      <c r="E109" s="33"/>
      <c r="F109" s="67"/>
      <c r="G109" s="37"/>
      <c r="H109" s="33"/>
      <c r="I109" s="35"/>
      <c r="J109" s="35"/>
      <c r="K109" s="35">
        <v>18</v>
      </c>
      <c r="L109" s="28"/>
      <c r="M109" s="28"/>
      <c r="N109" s="41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" customHeight="1" x14ac:dyDescent="0.35">
      <c r="A110" s="52"/>
      <c r="B110" s="13" t="s">
        <v>56</v>
      </c>
      <c r="C110" s="13" t="s">
        <v>68</v>
      </c>
      <c r="D110" s="13" t="s">
        <v>69</v>
      </c>
      <c r="E110" s="40" t="s">
        <v>113</v>
      </c>
      <c r="F110" s="82" t="s">
        <v>114</v>
      </c>
      <c r="G110" s="40" t="s">
        <v>36</v>
      </c>
      <c r="H110" s="40" t="s">
        <v>115</v>
      </c>
      <c r="I110" s="60">
        <v>1</v>
      </c>
      <c r="J110" s="60">
        <v>1.2</v>
      </c>
      <c r="K110" s="61"/>
      <c r="L110" s="61"/>
      <c r="M110" s="61"/>
      <c r="N110" s="14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" customHeight="1" x14ac:dyDescent="0.35">
      <c r="A111" s="306" t="s">
        <v>28</v>
      </c>
      <c r="B111" s="303"/>
      <c r="C111" s="303"/>
      <c r="D111" s="303"/>
      <c r="E111" s="303"/>
      <c r="F111" s="303"/>
      <c r="G111" s="303"/>
      <c r="H111" s="304"/>
      <c r="I111" s="56">
        <f>SUM(I109:I110)</f>
        <v>1</v>
      </c>
      <c r="J111" s="56">
        <f>SUM(J109:J110)</f>
        <v>1.2</v>
      </c>
      <c r="K111" s="56">
        <v>18</v>
      </c>
      <c r="L111" s="56">
        <f>(J111-K111)</f>
        <v>-16.8</v>
      </c>
      <c r="M111" s="56">
        <f>SUM(M109:M109)</f>
        <v>0</v>
      </c>
      <c r="N111" s="14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" customHeight="1" x14ac:dyDescent="0.35">
      <c r="A112" s="307"/>
      <c r="B112" s="303"/>
      <c r="C112" s="303"/>
      <c r="D112" s="303"/>
      <c r="E112" s="303"/>
      <c r="F112" s="303"/>
      <c r="G112" s="303"/>
      <c r="H112" s="303"/>
      <c r="I112" s="303"/>
      <c r="J112" s="303"/>
      <c r="K112" s="303"/>
      <c r="L112" s="303"/>
      <c r="M112" s="303"/>
      <c r="N112" s="304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" customHeight="1" x14ac:dyDescent="0.35">
      <c r="A113" s="22"/>
      <c r="B113" s="13"/>
      <c r="C113" s="14"/>
      <c r="D113" s="13"/>
      <c r="E113" s="15"/>
      <c r="F113" s="16"/>
      <c r="G113" s="13"/>
      <c r="H113" s="13"/>
      <c r="I113" s="13"/>
      <c r="J113" s="13"/>
      <c r="K113" s="13"/>
      <c r="L113" s="13"/>
      <c r="M113" s="13"/>
      <c r="N113" s="14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" customHeight="1" x14ac:dyDescent="0.35">
      <c r="A114" s="22" t="s">
        <v>116</v>
      </c>
      <c r="B114" s="13"/>
      <c r="C114" s="80" t="s">
        <v>252</v>
      </c>
      <c r="D114" s="13"/>
      <c r="E114" s="15"/>
      <c r="F114" s="16"/>
      <c r="G114" s="13"/>
      <c r="H114" s="13"/>
      <c r="I114" s="13"/>
      <c r="J114" s="13"/>
      <c r="K114" s="13"/>
      <c r="L114" s="13"/>
      <c r="M114" s="13"/>
      <c r="N114" s="14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" customHeight="1" x14ac:dyDescent="0.35">
      <c r="A115" s="14" t="s">
        <v>26</v>
      </c>
      <c r="B115" s="13"/>
      <c r="C115" s="13"/>
      <c r="D115" s="13"/>
      <c r="E115" s="33"/>
      <c r="F115" s="67"/>
      <c r="G115" s="37"/>
      <c r="H115" s="33"/>
      <c r="I115" s="35"/>
      <c r="J115" s="35"/>
      <c r="K115" s="35">
        <v>18</v>
      </c>
      <c r="L115" s="28"/>
      <c r="M115" s="28">
        <v>3</v>
      </c>
      <c r="N115" s="38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15" customHeight="1" x14ac:dyDescent="0.35">
      <c r="A116" s="52"/>
      <c r="B116" s="83"/>
      <c r="C116" s="54"/>
      <c r="D116" s="15"/>
      <c r="E116" s="15"/>
      <c r="F116" s="76"/>
      <c r="G116" s="15"/>
      <c r="H116" s="15"/>
      <c r="I116" s="49"/>
      <c r="J116" s="49"/>
      <c r="K116" s="55"/>
      <c r="L116" s="56"/>
      <c r="M116" s="56"/>
      <c r="N116" s="14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" customHeight="1" x14ac:dyDescent="0.35">
      <c r="A117" s="306" t="s">
        <v>28</v>
      </c>
      <c r="B117" s="303"/>
      <c r="C117" s="303"/>
      <c r="D117" s="303"/>
      <c r="E117" s="303"/>
      <c r="F117" s="303"/>
      <c r="G117" s="303"/>
      <c r="H117" s="304"/>
      <c r="I117" s="56">
        <f ca="1">SUM(I115:I125)</f>
        <v>1</v>
      </c>
      <c r="J117" s="56">
        <f>SUM(J115:J116)</f>
        <v>0</v>
      </c>
      <c r="K117" s="55">
        <v>18</v>
      </c>
      <c r="L117" s="56">
        <f>(J117-K117)</f>
        <v>-18</v>
      </c>
      <c r="M117" s="56">
        <f>SUM(M115:M115)</f>
        <v>3</v>
      </c>
      <c r="N117" s="14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" customHeight="1" x14ac:dyDescent="0.35">
      <c r="A118" s="25"/>
      <c r="B118" s="84"/>
      <c r="C118" s="85"/>
      <c r="D118" s="84"/>
      <c r="E118" s="84"/>
      <c r="F118" s="86"/>
      <c r="G118" s="84"/>
      <c r="H118" s="84"/>
      <c r="I118" s="84"/>
      <c r="J118" s="84"/>
      <c r="K118" s="84"/>
      <c r="L118" s="84"/>
      <c r="M118" s="84"/>
      <c r="N118" s="87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" customHeight="1" x14ac:dyDescent="0.35">
      <c r="A119" s="88" t="s">
        <v>118</v>
      </c>
      <c r="B119" s="172"/>
      <c r="C119" s="173"/>
      <c r="D119" s="172"/>
      <c r="E119" s="172"/>
      <c r="F119" s="174"/>
      <c r="G119" s="172"/>
      <c r="H119" s="172"/>
      <c r="I119" s="172"/>
      <c r="J119" s="89"/>
      <c r="K119" s="89"/>
      <c r="L119" s="89"/>
      <c r="M119" s="89"/>
      <c r="N119" s="40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" customHeight="1" x14ac:dyDescent="0.35">
      <c r="A120" s="171"/>
      <c r="B120" s="175" t="s">
        <v>178</v>
      </c>
      <c r="C120" s="175" t="s">
        <v>238</v>
      </c>
      <c r="D120" s="176" t="s">
        <v>96</v>
      </c>
      <c r="E120" s="176">
        <v>0</v>
      </c>
      <c r="F120" s="176" t="s">
        <v>283</v>
      </c>
      <c r="G120" s="176" t="s">
        <v>31</v>
      </c>
      <c r="H120" s="176" t="s">
        <v>255</v>
      </c>
      <c r="I120" s="237">
        <v>3</v>
      </c>
      <c r="J120" s="114">
        <v>3</v>
      </c>
      <c r="K120" s="15">
        <v>12</v>
      </c>
      <c r="L120" s="15"/>
      <c r="M120" s="15"/>
      <c r="N120" s="40" t="s">
        <v>119</v>
      </c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" customHeight="1" x14ac:dyDescent="0.35">
      <c r="A121" s="171"/>
      <c r="B121" s="175" t="s">
        <v>178</v>
      </c>
      <c r="C121" s="175" t="s">
        <v>239</v>
      </c>
      <c r="D121" s="176" t="s">
        <v>96</v>
      </c>
      <c r="E121" s="176">
        <v>0</v>
      </c>
      <c r="F121" s="176" t="s">
        <v>284</v>
      </c>
      <c r="G121" s="176" t="s">
        <v>32</v>
      </c>
      <c r="H121" s="176" t="s">
        <v>76</v>
      </c>
      <c r="I121" s="237">
        <v>1</v>
      </c>
      <c r="J121" s="114">
        <v>3</v>
      </c>
      <c r="K121" s="15"/>
      <c r="L121" s="15"/>
      <c r="M121" s="15"/>
      <c r="N121" s="40" t="s">
        <v>120</v>
      </c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" customHeight="1" x14ac:dyDescent="0.35">
      <c r="A122" s="171"/>
      <c r="B122" s="175" t="s">
        <v>205</v>
      </c>
      <c r="C122" s="175" t="s">
        <v>206</v>
      </c>
      <c r="D122" s="176" t="s">
        <v>62</v>
      </c>
      <c r="E122" s="176">
        <v>0</v>
      </c>
      <c r="F122" s="34" t="s">
        <v>75</v>
      </c>
      <c r="G122" s="176" t="s">
        <v>34</v>
      </c>
      <c r="H122" s="176" t="s">
        <v>55</v>
      </c>
      <c r="I122" s="237">
        <v>3</v>
      </c>
      <c r="J122" s="114">
        <v>3</v>
      </c>
      <c r="K122" s="15"/>
      <c r="L122" s="15"/>
      <c r="M122" s="15"/>
      <c r="N122" s="40" t="s">
        <v>121</v>
      </c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" customHeight="1" x14ac:dyDescent="0.35">
      <c r="A123" s="171"/>
      <c r="B123" s="175" t="s">
        <v>205</v>
      </c>
      <c r="C123" s="175" t="s">
        <v>206</v>
      </c>
      <c r="D123" s="176" t="s">
        <v>64</v>
      </c>
      <c r="E123" s="176">
        <v>0</v>
      </c>
      <c r="F123" s="34" t="s">
        <v>276</v>
      </c>
      <c r="G123" s="176" t="s">
        <v>36</v>
      </c>
      <c r="H123" s="176" t="s">
        <v>55</v>
      </c>
      <c r="I123" s="237">
        <v>3</v>
      </c>
      <c r="J123" s="114">
        <v>3</v>
      </c>
      <c r="K123" s="15"/>
      <c r="L123" s="15"/>
      <c r="M123" s="15"/>
      <c r="N123" s="40" t="s">
        <v>122</v>
      </c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" customHeight="1" x14ac:dyDescent="0.35">
      <c r="A124" s="171"/>
      <c r="B124" s="128" t="s">
        <v>199</v>
      </c>
      <c r="C124" s="128" t="s">
        <v>129</v>
      </c>
      <c r="D124" s="127" t="s">
        <v>64</v>
      </c>
      <c r="E124" s="127">
        <v>0</v>
      </c>
      <c r="F124" s="152" t="s">
        <v>251</v>
      </c>
      <c r="G124" s="127" t="s">
        <v>32</v>
      </c>
      <c r="H124" s="239" t="s">
        <v>47</v>
      </c>
      <c r="I124" s="237">
        <v>2</v>
      </c>
      <c r="J124" s="114">
        <v>2</v>
      </c>
      <c r="K124" s="15"/>
      <c r="L124" s="15"/>
      <c r="M124" s="15"/>
      <c r="N124" s="40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" customHeight="1" x14ac:dyDescent="0.35">
      <c r="A125" s="15"/>
      <c r="B125" s="13" t="s">
        <v>56</v>
      </c>
      <c r="C125" s="13" t="s">
        <v>68</v>
      </c>
      <c r="D125" s="13" t="s">
        <v>69</v>
      </c>
      <c r="E125" s="40" t="s">
        <v>117</v>
      </c>
      <c r="F125" s="34" t="s">
        <v>75</v>
      </c>
      <c r="G125" s="40" t="s">
        <v>37</v>
      </c>
      <c r="H125" s="40" t="s">
        <v>58</v>
      </c>
      <c r="I125" s="69">
        <v>1</v>
      </c>
      <c r="J125" s="69">
        <v>1</v>
      </c>
      <c r="K125" s="15"/>
      <c r="L125" s="15"/>
      <c r="M125" s="15"/>
      <c r="N125" s="40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" customHeight="1" x14ac:dyDescent="0.35">
      <c r="A126" s="15"/>
      <c r="B126" s="15" t="s">
        <v>123</v>
      </c>
      <c r="C126" s="54" t="s">
        <v>124</v>
      </c>
      <c r="D126" s="15" t="s">
        <v>125</v>
      </c>
      <c r="E126" s="15">
        <v>39</v>
      </c>
      <c r="F126" s="76" t="s">
        <v>103</v>
      </c>
      <c r="G126" s="15" t="s">
        <v>48</v>
      </c>
      <c r="H126" s="15" t="s">
        <v>126</v>
      </c>
      <c r="I126" s="49"/>
      <c r="J126" s="49"/>
      <c r="K126" s="15"/>
      <c r="L126" s="15"/>
      <c r="M126" s="15"/>
      <c r="N126" s="40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" customHeight="1" x14ac:dyDescent="0.35">
      <c r="A127" s="313" t="s">
        <v>28</v>
      </c>
      <c r="B127" s="314"/>
      <c r="C127" s="314"/>
      <c r="D127" s="314"/>
      <c r="E127" s="314"/>
      <c r="F127" s="314"/>
      <c r="G127" s="314"/>
      <c r="H127" s="315"/>
      <c r="I127" s="179">
        <f>SUM(I120:I125)</f>
        <v>13</v>
      </c>
      <c r="J127" s="179">
        <f>SUM(J120:J126)</f>
        <v>15</v>
      </c>
      <c r="K127" s="180">
        <v>12</v>
      </c>
      <c r="L127" s="56">
        <f>(J127-K127)</f>
        <v>3</v>
      </c>
      <c r="M127" s="56">
        <f>SUM(M120:M125)</f>
        <v>0</v>
      </c>
      <c r="N127" s="40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75" customHeight="1" x14ac:dyDescent="0.35">
      <c r="A128" s="13"/>
      <c r="B128" s="13"/>
      <c r="C128" s="14"/>
      <c r="D128" s="13"/>
      <c r="E128" s="15"/>
      <c r="F128" s="16"/>
      <c r="G128" s="13"/>
      <c r="H128" s="13"/>
      <c r="I128" s="13"/>
      <c r="J128" s="13"/>
      <c r="K128" s="13"/>
      <c r="L128" s="13"/>
      <c r="M128" s="13"/>
      <c r="N128" s="14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35">
      <c r="A129" s="13"/>
      <c r="B129" s="13"/>
      <c r="C129" s="14"/>
      <c r="D129" s="13"/>
      <c r="E129" s="15"/>
      <c r="F129" s="16"/>
      <c r="G129" s="13"/>
      <c r="H129" s="13"/>
      <c r="I129" s="13"/>
      <c r="J129" s="13"/>
      <c r="K129" s="13"/>
      <c r="L129" s="13"/>
      <c r="M129" s="13"/>
      <c r="N129" s="14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35">
      <c r="A130" s="13"/>
      <c r="B130" s="13"/>
      <c r="C130" s="14"/>
      <c r="D130" s="13"/>
      <c r="E130" s="15"/>
      <c r="F130" s="16"/>
      <c r="G130" s="13"/>
      <c r="H130" s="13"/>
      <c r="I130" s="13"/>
      <c r="J130" s="13"/>
      <c r="K130" s="13"/>
      <c r="L130" s="13"/>
      <c r="M130" s="13"/>
      <c r="N130" s="14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35">
      <c r="A131" s="13"/>
      <c r="B131" s="13"/>
      <c r="C131" s="14"/>
      <c r="D131" s="13"/>
      <c r="E131" s="15"/>
      <c r="F131" s="16"/>
      <c r="G131" s="13"/>
      <c r="H131" s="13"/>
      <c r="I131" s="13"/>
      <c r="J131" s="13"/>
      <c r="K131" s="13"/>
      <c r="L131" s="13"/>
      <c r="M131" s="13"/>
      <c r="N131" s="14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35">
      <c r="A132" s="13"/>
      <c r="B132" s="13"/>
      <c r="C132" s="14"/>
      <c r="D132" s="13"/>
      <c r="E132" s="15"/>
      <c r="F132" s="16"/>
      <c r="G132" s="13"/>
      <c r="H132" s="13"/>
      <c r="I132" s="13"/>
      <c r="J132" s="13"/>
      <c r="K132" s="13"/>
      <c r="L132" s="13"/>
      <c r="M132" s="13"/>
      <c r="N132" s="14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35">
      <c r="A133" s="13"/>
      <c r="B133" s="13"/>
      <c r="C133" s="14"/>
      <c r="D133" s="13"/>
      <c r="E133" s="15"/>
      <c r="F133" s="16"/>
      <c r="G133" s="13"/>
      <c r="H133" s="13"/>
      <c r="I133" s="13"/>
      <c r="J133" s="13"/>
      <c r="K133" s="13"/>
      <c r="L133" s="13"/>
      <c r="M133" s="13"/>
      <c r="N133" s="14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35">
      <c r="A134" s="13"/>
      <c r="B134" s="13"/>
      <c r="C134" s="14"/>
      <c r="D134" s="13"/>
      <c r="E134" s="15"/>
      <c r="F134" s="16"/>
      <c r="G134" s="13"/>
      <c r="H134" s="13"/>
      <c r="I134" s="13"/>
      <c r="J134" s="13"/>
      <c r="K134" s="13"/>
      <c r="L134" s="13"/>
      <c r="M134" s="13"/>
      <c r="N134" s="14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35">
      <c r="A135" s="13"/>
      <c r="B135" s="13"/>
      <c r="C135" s="14"/>
      <c r="D135" s="13"/>
      <c r="E135" s="15"/>
      <c r="F135" s="16"/>
      <c r="G135" s="13"/>
      <c r="H135" s="13"/>
      <c r="I135" s="13"/>
      <c r="J135" s="13"/>
      <c r="K135" s="13"/>
      <c r="L135" s="13"/>
      <c r="M135" s="13"/>
      <c r="N135" s="14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35">
      <c r="A136" s="13"/>
      <c r="B136" s="13"/>
      <c r="C136" s="14"/>
      <c r="D136" s="13"/>
      <c r="E136" s="15"/>
      <c r="F136" s="16"/>
      <c r="G136" s="13"/>
      <c r="H136" s="13"/>
      <c r="I136" s="13"/>
      <c r="J136" s="13"/>
      <c r="K136" s="13"/>
      <c r="L136" s="13"/>
      <c r="M136" s="13"/>
      <c r="N136" s="14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35">
      <c r="A137" s="13"/>
      <c r="B137" s="13"/>
      <c r="C137" s="14"/>
      <c r="D137" s="13"/>
      <c r="E137" s="15"/>
      <c r="F137" s="16"/>
      <c r="G137" s="13"/>
      <c r="H137" s="13"/>
      <c r="I137" s="13"/>
      <c r="J137" s="13"/>
      <c r="K137" s="13"/>
      <c r="L137" s="13"/>
      <c r="M137" s="13"/>
      <c r="N137" s="14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35">
      <c r="A138" s="13"/>
      <c r="B138" s="13"/>
      <c r="C138" s="14"/>
      <c r="D138" s="13"/>
      <c r="E138" s="15"/>
      <c r="F138" s="16"/>
      <c r="G138" s="13"/>
      <c r="H138" s="13"/>
      <c r="I138" s="13"/>
      <c r="J138" s="13"/>
      <c r="K138" s="13"/>
      <c r="L138" s="13"/>
      <c r="M138" s="13"/>
      <c r="N138" s="14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35">
      <c r="A139" s="13"/>
      <c r="B139" s="13"/>
      <c r="C139" s="14"/>
      <c r="D139" s="13"/>
      <c r="E139" s="15"/>
      <c r="F139" s="16"/>
      <c r="G139" s="13"/>
      <c r="H139" s="13"/>
      <c r="I139" s="13"/>
      <c r="J139" s="13"/>
      <c r="K139" s="13"/>
      <c r="L139" s="13"/>
      <c r="M139" s="13"/>
      <c r="N139" s="14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35">
      <c r="A140" s="13"/>
      <c r="B140" s="13"/>
      <c r="C140" s="14"/>
      <c r="D140" s="13"/>
      <c r="E140" s="15"/>
      <c r="F140" s="16"/>
      <c r="G140" s="13"/>
      <c r="H140" s="13"/>
      <c r="I140" s="13"/>
      <c r="J140" s="13"/>
      <c r="K140" s="13"/>
      <c r="L140" s="13"/>
      <c r="M140" s="13"/>
      <c r="N140" s="14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35">
      <c r="A141" s="13"/>
      <c r="B141" s="13"/>
      <c r="C141" s="14"/>
      <c r="D141" s="13"/>
      <c r="E141" s="15"/>
      <c r="F141" s="16"/>
      <c r="G141" s="13"/>
      <c r="H141" s="13"/>
      <c r="I141" s="13"/>
      <c r="J141" s="13"/>
      <c r="K141" s="13"/>
      <c r="L141" s="13"/>
      <c r="M141" s="13"/>
      <c r="N141" s="14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35">
      <c r="A142" s="13"/>
      <c r="B142" s="13"/>
      <c r="C142" s="14"/>
      <c r="D142" s="13"/>
      <c r="E142" s="15"/>
      <c r="F142" s="16"/>
      <c r="G142" s="13"/>
      <c r="H142" s="13"/>
      <c r="I142" s="13"/>
      <c r="J142" s="13"/>
      <c r="K142" s="13"/>
      <c r="L142" s="13"/>
      <c r="M142" s="13"/>
      <c r="N142" s="14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35">
      <c r="A143" s="13"/>
      <c r="B143" s="13"/>
      <c r="C143" s="14"/>
      <c r="D143" s="13"/>
      <c r="E143" s="15"/>
      <c r="F143" s="16"/>
      <c r="G143" s="13"/>
      <c r="H143" s="13"/>
      <c r="I143" s="13"/>
      <c r="J143" s="13"/>
      <c r="K143" s="13"/>
      <c r="L143" s="13"/>
      <c r="M143" s="13"/>
      <c r="N143" s="14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35">
      <c r="A144" s="13"/>
      <c r="B144" s="13"/>
      <c r="C144" s="14"/>
      <c r="D144" s="13"/>
      <c r="E144" s="15"/>
      <c r="F144" s="16"/>
      <c r="G144" s="13"/>
      <c r="H144" s="13"/>
      <c r="I144" s="13"/>
      <c r="J144" s="13"/>
      <c r="K144" s="13"/>
      <c r="L144" s="13"/>
      <c r="M144" s="13"/>
      <c r="N144" s="14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35">
      <c r="A145" s="13"/>
      <c r="B145" s="13"/>
      <c r="C145" s="14"/>
      <c r="D145" s="13"/>
      <c r="E145" s="15"/>
      <c r="F145" s="16"/>
      <c r="G145" s="13"/>
      <c r="H145" s="13"/>
      <c r="I145" s="13"/>
      <c r="J145" s="13"/>
      <c r="K145" s="13"/>
      <c r="L145" s="13"/>
      <c r="M145" s="13"/>
      <c r="N145" s="14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35">
      <c r="A146" s="13"/>
      <c r="B146" s="13"/>
      <c r="C146" s="14"/>
      <c r="D146" s="13"/>
      <c r="E146" s="15"/>
      <c r="F146" s="16"/>
      <c r="G146" s="13"/>
      <c r="H146" s="13"/>
      <c r="I146" s="13"/>
      <c r="J146" s="13"/>
      <c r="K146" s="13"/>
      <c r="L146" s="13"/>
      <c r="M146" s="13"/>
      <c r="N146" s="14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35">
      <c r="A147" s="13"/>
      <c r="B147" s="13"/>
      <c r="C147" s="14"/>
      <c r="D147" s="13"/>
      <c r="E147" s="15"/>
      <c r="F147" s="16"/>
      <c r="G147" s="13"/>
      <c r="H147" s="13"/>
      <c r="I147" s="13"/>
      <c r="J147" s="13"/>
      <c r="K147" s="13"/>
      <c r="L147" s="13"/>
      <c r="M147" s="13"/>
      <c r="N147" s="14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35">
      <c r="A148" s="13"/>
      <c r="B148" s="13"/>
      <c r="C148" s="14"/>
      <c r="D148" s="13"/>
      <c r="E148" s="15"/>
      <c r="F148" s="16"/>
      <c r="G148" s="13"/>
      <c r="H148" s="13"/>
      <c r="I148" s="13"/>
      <c r="J148" s="13"/>
      <c r="K148" s="13"/>
      <c r="L148" s="13"/>
      <c r="M148" s="13"/>
      <c r="N148" s="14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35">
      <c r="A149" s="13"/>
      <c r="B149" s="13"/>
      <c r="C149" s="14"/>
      <c r="D149" s="13"/>
      <c r="E149" s="15"/>
      <c r="F149" s="16"/>
      <c r="G149" s="13"/>
      <c r="H149" s="13"/>
      <c r="I149" s="13"/>
      <c r="J149" s="13"/>
      <c r="K149" s="13"/>
      <c r="L149" s="13"/>
      <c r="M149" s="13"/>
      <c r="N149" s="14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35">
      <c r="A150" s="13"/>
      <c r="B150" s="13"/>
      <c r="C150" s="14"/>
      <c r="D150" s="13"/>
      <c r="E150" s="15"/>
      <c r="F150" s="16"/>
      <c r="G150" s="13"/>
      <c r="H150" s="13"/>
      <c r="I150" s="13"/>
      <c r="J150" s="13"/>
      <c r="K150" s="13"/>
      <c r="L150" s="13"/>
      <c r="M150" s="13"/>
      <c r="N150" s="14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35">
      <c r="A151" s="13"/>
      <c r="B151" s="13"/>
      <c r="C151" s="14"/>
      <c r="D151" s="13"/>
      <c r="E151" s="15"/>
      <c r="F151" s="16"/>
      <c r="G151" s="13"/>
      <c r="H151" s="13"/>
      <c r="I151" s="13"/>
      <c r="J151" s="13"/>
      <c r="K151" s="13"/>
      <c r="L151" s="13"/>
      <c r="M151" s="13"/>
      <c r="N151" s="14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35">
      <c r="A152" s="13"/>
      <c r="B152" s="13"/>
      <c r="C152" s="14"/>
      <c r="D152" s="13"/>
      <c r="E152" s="15"/>
      <c r="F152" s="16"/>
      <c r="G152" s="13"/>
      <c r="H152" s="13"/>
      <c r="I152" s="13"/>
      <c r="J152" s="13"/>
      <c r="K152" s="13"/>
      <c r="L152" s="13"/>
      <c r="M152" s="13"/>
      <c r="N152" s="14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35">
      <c r="A153" s="13"/>
      <c r="B153" s="13"/>
      <c r="C153" s="14"/>
      <c r="D153" s="13"/>
      <c r="E153" s="15"/>
      <c r="F153" s="16"/>
      <c r="G153" s="13"/>
      <c r="H153" s="13"/>
      <c r="I153" s="13"/>
      <c r="J153" s="13"/>
      <c r="K153" s="13"/>
      <c r="L153" s="13"/>
      <c r="M153" s="13"/>
      <c r="N153" s="14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35">
      <c r="A154" s="13"/>
      <c r="B154" s="13"/>
      <c r="C154" s="14"/>
      <c r="D154" s="13"/>
      <c r="E154" s="15"/>
      <c r="F154" s="16"/>
      <c r="G154" s="13"/>
      <c r="H154" s="13"/>
      <c r="I154" s="13"/>
      <c r="J154" s="13"/>
      <c r="K154" s="13"/>
      <c r="L154" s="13"/>
      <c r="M154" s="13"/>
      <c r="N154" s="14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35">
      <c r="A155" s="13"/>
      <c r="B155" s="13"/>
      <c r="C155" s="14"/>
      <c r="D155" s="13"/>
      <c r="E155" s="15"/>
      <c r="F155" s="16"/>
      <c r="G155" s="13"/>
      <c r="H155" s="13"/>
      <c r="I155" s="13"/>
      <c r="J155" s="13"/>
      <c r="K155" s="13"/>
      <c r="L155" s="13"/>
      <c r="M155" s="13"/>
      <c r="N155" s="14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35">
      <c r="A156" s="13"/>
      <c r="B156" s="13"/>
      <c r="C156" s="14"/>
      <c r="D156" s="13"/>
      <c r="E156" s="15"/>
      <c r="F156" s="16"/>
      <c r="G156" s="13"/>
      <c r="H156" s="13"/>
      <c r="I156" s="13"/>
      <c r="J156" s="13"/>
      <c r="K156" s="13"/>
      <c r="L156" s="13"/>
      <c r="M156" s="13"/>
      <c r="N156" s="14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35">
      <c r="A157" s="13"/>
      <c r="B157" s="13"/>
      <c r="C157" s="14"/>
      <c r="D157" s="13"/>
      <c r="E157" s="15"/>
      <c r="F157" s="16"/>
      <c r="G157" s="13"/>
      <c r="H157" s="13"/>
      <c r="I157" s="13"/>
      <c r="J157" s="13"/>
      <c r="K157" s="13"/>
      <c r="L157" s="13"/>
      <c r="M157" s="13"/>
      <c r="N157" s="14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35">
      <c r="A158" s="13"/>
      <c r="B158" s="13"/>
      <c r="C158" s="14"/>
      <c r="D158" s="13"/>
      <c r="E158" s="15"/>
      <c r="F158" s="16"/>
      <c r="G158" s="13"/>
      <c r="H158" s="13"/>
      <c r="I158" s="13"/>
      <c r="J158" s="13"/>
      <c r="K158" s="13"/>
      <c r="L158" s="13"/>
      <c r="M158" s="13"/>
      <c r="N158" s="14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35">
      <c r="A159" s="13"/>
      <c r="B159" s="13"/>
      <c r="C159" s="14"/>
      <c r="D159" s="13"/>
      <c r="E159" s="15"/>
      <c r="F159" s="16"/>
      <c r="G159" s="13"/>
      <c r="H159" s="13"/>
      <c r="I159" s="13"/>
      <c r="J159" s="13"/>
      <c r="K159" s="13"/>
      <c r="L159" s="13"/>
      <c r="M159" s="13"/>
      <c r="N159" s="14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35">
      <c r="A160" s="13"/>
      <c r="B160" s="13"/>
      <c r="C160" s="14"/>
      <c r="D160" s="13"/>
      <c r="E160" s="15"/>
      <c r="F160" s="16"/>
      <c r="G160" s="13"/>
      <c r="H160" s="13"/>
      <c r="I160" s="13"/>
      <c r="J160" s="13"/>
      <c r="K160" s="13"/>
      <c r="L160" s="13"/>
      <c r="M160" s="13"/>
      <c r="N160" s="14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35">
      <c r="A161" s="13"/>
      <c r="B161" s="13"/>
      <c r="C161" s="14"/>
      <c r="D161" s="13"/>
      <c r="E161" s="15"/>
      <c r="F161" s="16"/>
      <c r="G161" s="13"/>
      <c r="H161" s="13"/>
      <c r="I161" s="13"/>
      <c r="J161" s="13"/>
      <c r="K161" s="13"/>
      <c r="L161" s="13"/>
      <c r="M161" s="13"/>
      <c r="N161" s="14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35">
      <c r="A162" s="13"/>
      <c r="B162" s="13"/>
      <c r="C162" s="14"/>
      <c r="D162" s="13"/>
      <c r="E162" s="15"/>
      <c r="F162" s="16"/>
      <c r="G162" s="13"/>
      <c r="H162" s="13"/>
      <c r="I162" s="13"/>
      <c r="J162" s="13"/>
      <c r="K162" s="13"/>
      <c r="L162" s="13"/>
      <c r="M162" s="13"/>
      <c r="N162" s="14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35">
      <c r="A163" s="13"/>
      <c r="B163" s="13"/>
      <c r="C163" s="14"/>
      <c r="D163" s="13"/>
      <c r="E163" s="15"/>
      <c r="F163" s="16"/>
      <c r="G163" s="13"/>
      <c r="H163" s="13"/>
      <c r="I163" s="13"/>
      <c r="J163" s="13"/>
      <c r="K163" s="13"/>
      <c r="L163" s="13"/>
      <c r="M163" s="13"/>
      <c r="N163" s="14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35">
      <c r="A164" s="13"/>
      <c r="B164" s="13"/>
      <c r="C164" s="14"/>
      <c r="D164" s="13"/>
      <c r="E164" s="15"/>
      <c r="F164" s="16"/>
      <c r="G164" s="13"/>
      <c r="H164" s="13"/>
      <c r="I164" s="13"/>
      <c r="J164" s="13"/>
      <c r="K164" s="13"/>
      <c r="L164" s="13"/>
      <c r="M164" s="13"/>
      <c r="N164" s="14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35">
      <c r="A165" s="13"/>
      <c r="B165" s="13"/>
      <c r="C165" s="14"/>
      <c r="D165" s="13"/>
      <c r="E165" s="15"/>
      <c r="F165" s="16"/>
      <c r="G165" s="13"/>
      <c r="H165" s="13"/>
      <c r="I165" s="13"/>
      <c r="J165" s="13"/>
      <c r="K165" s="13"/>
      <c r="L165" s="13"/>
      <c r="M165" s="13"/>
      <c r="N165" s="14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35">
      <c r="A166" s="13"/>
      <c r="B166" s="13"/>
      <c r="C166" s="14"/>
      <c r="D166" s="13"/>
      <c r="E166" s="15"/>
      <c r="F166" s="16"/>
      <c r="G166" s="13"/>
      <c r="H166" s="13"/>
      <c r="I166" s="13"/>
      <c r="J166" s="13"/>
      <c r="K166" s="13"/>
      <c r="L166" s="13"/>
      <c r="M166" s="13"/>
      <c r="N166" s="14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35">
      <c r="A167" s="13"/>
      <c r="B167" s="13"/>
      <c r="C167" s="14"/>
      <c r="D167" s="13"/>
      <c r="E167" s="15"/>
      <c r="F167" s="16"/>
      <c r="G167" s="13"/>
      <c r="H167" s="13"/>
      <c r="I167" s="13"/>
      <c r="J167" s="13"/>
      <c r="K167" s="13"/>
      <c r="L167" s="13"/>
      <c r="M167" s="13"/>
      <c r="N167" s="14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35">
      <c r="A168" s="13"/>
      <c r="B168" s="13"/>
      <c r="C168" s="14"/>
      <c r="D168" s="13"/>
      <c r="E168" s="15"/>
      <c r="F168" s="16"/>
      <c r="G168" s="13"/>
      <c r="H168" s="13"/>
      <c r="I168" s="13"/>
      <c r="J168" s="13"/>
      <c r="K168" s="13"/>
      <c r="L168" s="13"/>
      <c r="M168" s="13"/>
      <c r="N168" s="14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35">
      <c r="A169" s="13"/>
      <c r="B169" s="13"/>
      <c r="C169" s="14"/>
      <c r="D169" s="13"/>
      <c r="E169" s="15"/>
      <c r="F169" s="16"/>
      <c r="G169" s="13"/>
      <c r="H169" s="13"/>
      <c r="I169" s="13"/>
      <c r="J169" s="13"/>
      <c r="K169" s="13"/>
      <c r="L169" s="13"/>
      <c r="M169" s="13"/>
      <c r="N169" s="14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35">
      <c r="A170" s="13"/>
      <c r="B170" s="13"/>
      <c r="C170" s="14"/>
      <c r="D170" s="13"/>
      <c r="E170" s="15"/>
      <c r="F170" s="16"/>
      <c r="G170" s="13"/>
      <c r="H170" s="13"/>
      <c r="I170" s="13"/>
      <c r="J170" s="13"/>
      <c r="K170" s="13"/>
      <c r="L170" s="13"/>
      <c r="M170" s="13"/>
      <c r="N170" s="14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35">
      <c r="A171" s="13"/>
      <c r="B171" s="13"/>
      <c r="C171" s="14"/>
      <c r="D171" s="13"/>
      <c r="E171" s="15"/>
      <c r="F171" s="16"/>
      <c r="G171" s="13"/>
      <c r="H171" s="13"/>
      <c r="I171" s="13"/>
      <c r="J171" s="13"/>
      <c r="K171" s="13"/>
      <c r="L171" s="13"/>
      <c r="M171" s="13"/>
      <c r="N171" s="14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35">
      <c r="A172" s="13"/>
      <c r="B172" s="13"/>
      <c r="C172" s="14"/>
      <c r="D172" s="13"/>
      <c r="E172" s="15"/>
      <c r="F172" s="16"/>
      <c r="G172" s="13"/>
      <c r="H172" s="13"/>
      <c r="I172" s="13"/>
      <c r="J172" s="13"/>
      <c r="K172" s="13"/>
      <c r="L172" s="13"/>
      <c r="M172" s="13"/>
      <c r="N172" s="14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35">
      <c r="A173" s="13"/>
      <c r="B173" s="13"/>
      <c r="C173" s="14"/>
      <c r="D173" s="13"/>
      <c r="E173" s="15"/>
      <c r="F173" s="16"/>
      <c r="G173" s="13"/>
      <c r="H173" s="13"/>
      <c r="I173" s="13"/>
      <c r="J173" s="13"/>
      <c r="K173" s="13"/>
      <c r="L173" s="13"/>
      <c r="M173" s="13"/>
      <c r="N173" s="14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35">
      <c r="A174" s="13"/>
      <c r="B174" s="13"/>
      <c r="C174" s="14"/>
      <c r="D174" s="13"/>
      <c r="E174" s="15"/>
      <c r="F174" s="16"/>
      <c r="G174" s="13"/>
      <c r="H174" s="13"/>
      <c r="I174" s="13"/>
      <c r="J174" s="13"/>
      <c r="K174" s="13"/>
      <c r="L174" s="13"/>
      <c r="M174" s="13"/>
      <c r="N174" s="14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35">
      <c r="A175" s="13"/>
      <c r="B175" s="13"/>
      <c r="C175" s="14"/>
      <c r="D175" s="13"/>
      <c r="E175" s="15"/>
      <c r="F175" s="16"/>
      <c r="G175" s="13"/>
      <c r="H175" s="13"/>
      <c r="I175" s="13"/>
      <c r="J175" s="13"/>
      <c r="K175" s="13"/>
      <c r="L175" s="13"/>
      <c r="M175" s="13"/>
      <c r="N175" s="14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35">
      <c r="A176" s="13"/>
      <c r="B176" s="13"/>
      <c r="C176" s="14"/>
      <c r="D176" s="13"/>
      <c r="E176" s="15"/>
      <c r="F176" s="16"/>
      <c r="G176" s="13"/>
      <c r="H176" s="13"/>
      <c r="I176" s="13"/>
      <c r="J176" s="13"/>
      <c r="K176" s="13"/>
      <c r="L176" s="13"/>
      <c r="M176" s="13"/>
      <c r="N176" s="14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35">
      <c r="A177" s="13"/>
      <c r="B177" s="13"/>
      <c r="C177" s="14"/>
      <c r="D177" s="13"/>
      <c r="E177" s="15"/>
      <c r="F177" s="16"/>
      <c r="G177" s="13"/>
      <c r="H177" s="13"/>
      <c r="I177" s="13"/>
      <c r="J177" s="13"/>
      <c r="K177" s="13"/>
      <c r="L177" s="13"/>
      <c r="M177" s="13"/>
      <c r="N177" s="14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35">
      <c r="A178" s="13"/>
      <c r="B178" s="13"/>
      <c r="C178" s="14"/>
      <c r="D178" s="13"/>
      <c r="E178" s="15"/>
      <c r="F178" s="16"/>
      <c r="G178" s="13"/>
      <c r="H178" s="13"/>
      <c r="I178" s="13"/>
      <c r="J178" s="13"/>
      <c r="K178" s="13"/>
      <c r="L178" s="13"/>
      <c r="M178" s="13"/>
      <c r="N178" s="14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35">
      <c r="A179" s="13"/>
      <c r="B179" s="13"/>
      <c r="C179" s="14"/>
      <c r="D179" s="13"/>
      <c r="E179" s="15"/>
      <c r="F179" s="16"/>
      <c r="G179" s="13"/>
      <c r="H179" s="13"/>
      <c r="I179" s="13"/>
      <c r="J179" s="13"/>
      <c r="K179" s="13"/>
      <c r="L179" s="13"/>
      <c r="M179" s="13"/>
      <c r="N179" s="14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35">
      <c r="A180" s="13"/>
      <c r="B180" s="13"/>
      <c r="C180" s="14"/>
      <c r="D180" s="13"/>
      <c r="E180" s="15"/>
      <c r="F180" s="16"/>
      <c r="G180" s="13"/>
      <c r="H180" s="13"/>
      <c r="I180" s="13"/>
      <c r="J180" s="13"/>
      <c r="K180" s="13"/>
      <c r="L180" s="13"/>
      <c r="M180" s="13"/>
      <c r="N180" s="14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35">
      <c r="A181" s="13"/>
      <c r="B181" s="13"/>
      <c r="C181" s="14"/>
      <c r="D181" s="13"/>
      <c r="E181" s="15"/>
      <c r="F181" s="16"/>
      <c r="G181" s="13"/>
      <c r="H181" s="13"/>
      <c r="I181" s="13"/>
      <c r="J181" s="13"/>
      <c r="K181" s="13"/>
      <c r="L181" s="13"/>
      <c r="M181" s="13"/>
      <c r="N181" s="14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35">
      <c r="A182" s="13"/>
      <c r="B182" s="13"/>
      <c r="C182" s="14"/>
      <c r="D182" s="13"/>
      <c r="E182" s="15"/>
      <c r="F182" s="16"/>
      <c r="G182" s="13"/>
      <c r="H182" s="13"/>
      <c r="I182" s="13"/>
      <c r="J182" s="13"/>
      <c r="K182" s="13"/>
      <c r="L182" s="13"/>
      <c r="M182" s="13"/>
      <c r="N182" s="14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35">
      <c r="A183" s="13"/>
      <c r="B183" s="13"/>
      <c r="C183" s="14"/>
      <c r="D183" s="13"/>
      <c r="E183" s="15"/>
      <c r="F183" s="16"/>
      <c r="G183" s="13"/>
      <c r="H183" s="13"/>
      <c r="I183" s="13"/>
      <c r="J183" s="13"/>
      <c r="K183" s="13"/>
      <c r="L183" s="13"/>
      <c r="M183" s="13"/>
      <c r="N183" s="14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35">
      <c r="A184" s="13"/>
      <c r="B184" s="13"/>
      <c r="C184" s="14"/>
      <c r="D184" s="13"/>
      <c r="E184" s="15"/>
      <c r="F184" s="16"/>
      <c r="G184" s="13"/>
      <c r="H184" s="13"/>
      <c r="I184" s="13"/>
      <c r="J184" s="13"/>
      <c r="K184" s="13"/>
      <c r="L184" s="13"/>
      <c r="M184" s="13"/>
      <c r="N184" s="14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35">
      <c r="A185" s="13"/>
      <c r="B185" s="13"/>
      <c r="C185" s="14"/>
      <c r="D185" s="13"/>
      <c r="E185" s="15"/>
      <c r="F185" s="16"/>
      <c r="G185" s="13"/>
      <c r="H185" s="13"/>
      <c r="I185" s="13"/>
      <c r="J185" s="13"/>
      <c r="K185" s="13"/>
      <c r="L185" s="13"/>
      <c r="M185" s="13"/>
      <c r="N185" s="14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35">
      <c r="A186" s="13"/>
      <c r="B186" s="13"/>
      <c r="C186" s="14"/>
      <c r="D186" s="13"/>
      <c r="E186" s="15"/>
      <c r="F186" s="16"/>
      <c r="G186" s="13"/>
      <c r="H186" s="13"/>
      <c r="I186" s="13"/>
      <c r="J186" s="13"/>
      <c r="K186" s="13"/>
      <c r="L186" s="13"/>
      <c r="M186" s="13"/>
      <c r="N186" s="14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35">
      <c r="A187" s="13"/>
      <c r="B187" s="13"/>
      <c r="C187" s="14"/>
      <c r="D187" s="13"/>
      <c r="E187" s="15"/>
      <c r="F187" s="16"/>
      <c r="G187" s="13"/>
      <c r="H187" s="13"/>
      <c r="I187" s="13"/>
      <c r="J187" s="13"/>
      <c r="K187" s="13"/>
      <c r="L187" s="13"/>
      <c r="M187" s="13"/>
      <c r="N187" s="14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35">
      <c r="A188" s="13"/>
      <c r="B188" s="13"/>
      <c r="C188" s="14"/>
      <c r="D188" s="13"/>
      <c r="E188" s="15"/>
      <c r="F188" s="16"/>
      <c r="G188" s="13"/>
      <c r="H188" s="13"/>
      <c r="I188" s="13"/>
      <c r="J188" s="13"/>
      <c r="K188" s="13"/>
      <c r="L188" s="13"/>
      <c r="M188" s="13"/>
      <c r="N188" s="14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35">
      <c r="A189" s="13"/>
      <c r="B189" s="13"/>
      <c r="C189" s="14"/>
      <c r="D189" s="13"/>
      <c r="E189" s="15"/>
      <c r="F189" s="16"/>
      <c r="G189" s="13"/>
      <c r="H189" s="13"/>
      <c r="I189" s="13"/>
      <c r="J189" s="13"/>
      <c r="K189" s="13"/>
      <c r="L189" s="13"/>
      <c r="M189" s="13"/>
      <c r="N189" s="14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35">
      <c r="A190" s="13"/>
      <c r="B190" s="13"/>
      <c r="C190" s="14"/>
      <c r="D190" s="13"/>
      <c r="E190" s="15"/>
      <c r="F190" s="16"/>
      <c r="G190" s="13"/>
      <c r="H190" s="13"/>
      <c r="I190" s="13"/>
      <c r="J190" s="13"/>
      <c r="K190" s="13"/>
      <c r="L190" s="13"/>
      <c r="M190" s="13"/>
      <c r="N190" s="14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35">
      <c r="A191" s="13"/>
      <c r="B191" s="13"/>
      <c r="C191" s="14"/>
      <c r="D191" s="13"/>
      <c r="E191" s="15"/>
      <c r="F191" s="16"/>
      <c r="G191" s="13"/>
      <c r="H191" s="13"/>
      <c r="I191" s="13"/>
      <c r="J191" s="13"/>
      <c r="K191" s="13"/>
      <c r="L191" s="13"/>
      <c r="M191" s="13"/>
      <c r="N191" s="14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35">
      <c r="A192" s="13"/>
      <c r="B192" s="13"/>
      <c r="C192" s="14"/>
      <c r="D192" s="13"/>
      <c r="E192" s="15"/>
      <c r="F192" s="16"/>
      <c r="G192" s="13"/>
      <c r="H192" s="13"/>
      <c r="I192" s="13"/>
      <c r="J192" s="13"/>
      <c r="K192" s="13"/>
      <c r="L192" s="13"/>
      <c r="M192" s="13"/>
      <c r="N192" s="14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35">
      <c r="A193" s="13"/>
      <c r="B193" s="13"/>
      <c r="C193" s="14"/>
      <c r="D193" s="13"/>
      <c r="E193" s="15"/>
      <c r="F193" s="16"/>
      <c r="G193" s="13"/>
      <c r="H193" s="13"/>
      <c r="I193" s="13"/>
      <c r="J193" s="13"/>
      <c r="K193" s="13"/>
      <c r="L193" s="13"/>
      <c r="M193" s="13"/>
      <c r="N193" s="14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35">
      <c r="A194" s="13"/>
      <c r="B194" s="13"/>
      <c r="C194" s="14"/>
      <c r="D194" s="13"/>
      <c r="E194" s="15"/>
      <c r="F194" s="16"/>
      <c r="G194" s="13"/>
      <c r="H194" s="13"/>
      <c r="I194" s="13"/>
      <c r="J194" s="13"/>
      <c r="K194" s="13"/>
      <c r="L194" s="13"/>
      <c r="M194" s="13"/>
      <c r="N194" s="14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35">
      <c r="A195" s="13"/>
      <c r="B195" s="13"/>
      <c r="C195" s="14"/>
      <c r="D195" s="13"/>
      <c r="E195" s="15"/>
      <c r="F195" s="16"/>
      <c r="G195" s="13"/>
      <c r="H195" s="13"/>
      <c r="I195" s="13"/>
      <c r="J195" s="13"/>
      <c r="K195" s="13"/>
      <c r="L195" s="13"/>
      <c r="M195" s="13"/>
      <c r="N195" s="14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35">
      <c r="A196" s="13"/>
      <c r="B196" s="13"/>
      <c r="C196" s="14"/>
      <c r="D196" s="13"/>
      <c r="E196" s="15"/>
      <c r="F196" s="16"/>
      <c r="G196" s="13"/>
      <c r="H196" s="13"/>
      <c r="I196" s="13"/>
      <c r="J196" s="13"/>
      <c r="K196" s="13"/>
      <c r="L196" s="13"/>
      <c r="M196" s="13"/>
      <c r="N196" s="14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35">
      <c r="A197" s="13"/>
      <c r="B197" s="13"/>
      <c r="C197" s="14"/>
      <c r="D197" s="13"/>
      <c r="E197" s="15"/>
      <c r="F197" s="16"/>
      <c r="G197" s="13"/>
      <c r="H197" s="13"/>
      <c r="I197" s="13"/>
      <c r="J197" s="13"/>
      <c r="K197" s="13"/>
      <c r="L197" s="13"/>
      <c r="M197" s="13"/>
      <c r="N197" s="14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35">
      <c r="A198" s="13"/>
      <c r="B198" s="13"/>
      <c r="C198" s="14"/>
      <c r="D198" s="13"/>
      <c r="E198" s="15"/>
      <c r="F198" s="16"/>
      <c r="G198" s="13"/>
      <c r="H198" s="13"/>
      <c r="I198" s="13"/>
      <c r="J198" s="13"/>
      <c r="K198" s="13"/>
      <c r="L198" s="13"/>
      <c r="M198" s="13"/>
      <c r="N198" s="14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35">
      <c r="A199" s="13"/>
      <c r="B199" s="13"/>
      <c r="C199" s="14"/>
      <c r="D199" s="13"/>
      <c r="E199" s="15"/>
      <c r="F199" s="16"/>
      <c r="G199" s="13"/>
      <c r="H199" s="13"/>
      <c r="I199" s="13"/>
      <c r="J199" s="13"/>
      <c r="K199" s="13"/>
      <c r="L199" s="13"/>
      <c r="M199" s="13"/>
      <c r="N199" s="14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35">
      <c r="A200" s="13"/>
      <c r="B200" s="13"/>
      <c r="C200" s="14"/>
      <c r="D200" s="13"/>
      <c r="E200" s="15"/>
      <c r="F200" s="16"/>
      <c r="G200" s="13"/>
      <c r="H200" s="13"/>
      <c r="I200" s="13"/>
      <c r="J200" s="13"/>
      <c r="K200" s="13"/>
      <c r="L200" s="13"/>
      <c r="M200" s="13"/>
      <c r="N200" s="14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35">
      <c r="A201" s="13"/>
      <c r="B201" s="13"/>
      <c r="C201" s="14"/>
      <c r="D201" s="13"/>
      <c r="E201" s="15"/>
      <c r="F201" s="16"/>
      <c r="G201" s="13"/>
      <c r="H201" s="13"/>
      <c r="I201" s="13"/>
      <c r="J201" s="13"/>
      <c r="K201" s="13"/>
      <c r="L201" s="13"/>
      <c r="M201" s="13"/>
      <c r="N201" s="14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35">
      <c r="A202" s="13"/>
      <c r="B202" s="13"/>
      <c r="C202" s="14"/>
      <c r="D202" s="13"/>
      <c r="E202" s="15"/>
      <c r="F202" s="16"/>
      <c r="G202" s="13"/>
      <c r="H202" s="13"/>
      <c r="I202" s="13"/>
      <c r="J202" s="13"/>
      <c r="K202" s="13"/>
      <c r="L202" s="13"/>
      <c r="M202" s="13"/>
      <c r="N202" s="14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35">
      <c r="A203" s="13"/>
      <c r="B203" s="13"/>
      <c r="C203" s="14"/>
      <c r="D203" s="13"/>
      <c r="E203" s="15"/>
      <c r="F203" s="16"/>
      <c r="G203" s="13"/>
      <c r="H203" s="13"/>
      <c r="I203" s="13"/>
      <c r="J203" s="13"/>
      <c r="K203" s="13"/>
      <c r="L203" s="13"/>
      <c r="M203" s="13"/>
      <c r="N203" s="14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35">
      <c r="A204" s="13"/>
      <c r="B204" s="13"/>
      <c r="C204" s="14"/>
      <c r="D204" s="13"/>
      <c r="E204" s="15"/>
      <c r="F204" s="16"/>
      <c r="G204" s="13"/>
      <c r="H204" s="13"/>
      <c r="I204" s="13"/>
      <c r="J204" s="13"/>
      <c r="K204" s="13"/>
      <c r="L204" s="13"/>
      <c r="M204" s="13"/>
      <c r="N204" s="14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35">
      <c r="A205" s="13"/>
      <c r="B205" s="13"/>
      <c r="C205" s="14"/>
      <c r="D205" s="13"/>
      <c r="E205" s="15"/>
      <c r="F205" s="16"/>
      <c r="G205" s="13"/>
      <c r="H205" s="13"/>
      <c r="I205" s="13"/>
      <c r="J205" s="13"/>
      <c r="K205" s="13"/>
      <c r="L205" s="13"/>
      <c r="M205" s="13"/>
      <c r="N205" s="14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35">
      <c r="A206" s="13"/>
      <c r="B206" s="13"/>
      <c r="C206" s="14"/>
      <c r="D206" s="13"/>
      <c r="E206" s="15"/>
      <c r="F206" s="16"/>
      <c r="G206" s="13"/>
      <c r="H206" s="13"/>
      <c r="I206" s="13"/>
      <c r="J206" s="13"/>
      <c r="K206" s="13"/>
      <c r="L206" s="13"/>
      <c r="M206" s="13"/>
      <c r="N206" s="14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35">
      <c r="A207" s="13"/>
      <c r="B207" s="13"/>
      <c r="C207" s="14"/>
      <c r="D207" s="13"/>
      <c r="E207" s="15"/>
      <c r="F207" s="16"/>
      <c r="G207" s="13"/>
      <c r="H207" s="13"/>
      <c r="I207" s="13"/>
      <c r="J207" s="13"/>
      <c r="K207" s="13"/>
      <c r="L207" s="13"/>
      <c r="M207" s="13"/>
      <c r="N207" s="14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35">
      <c r="A208" s="13"/>
      <c r="B208" s="13"/>
      <c r="C208" s="14"/>
      <c r="D208" s="13"/>
      <c r="E208" s="15"/>
      <c r="F208" s="16"/>
      <c r="G208" s="13"/>
      <c r="H208" s="13"/>
      <c r="I208" s="13"/>
      <c r="J208" s="13"/>
      <c r="K208" s="13"/>
      <c r="L208" s="13"/>
      <c r="M208" s="13"/>
      <c r="N208" s="14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35">
      <c r="A209" s="13"/>
      <c r="B209" s="13"/>
      <c r="C209" s="14"/>
      <c r="D209" s="13"/>
      <c r="E209" s="15"/>
      <c r="F209" s="16"/>
      <c r="G209" s="13"/>
      <c r="H209" s="13"/>
      <c r="I209" s="13"/>
      <c r="J209" s="13"/>
      <c r="K209" s="13"/>
      <c r="L209" s="13"/>
      <c r="M209" s="13"/>
      <c r="N209" s="14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35">
      <c r="A210" s="13"/>
      <c r="B210" s="13"/>
      <c r="C210" s="14"/>
      <c r="D210" s="13"/>
      <c r="E210" s="15"/>
      <c r="F210" s="16"/>
      <c r="G210" s="13"/>
      <c r="H210" s="13"/>
      <c r="I210" s="13"/>
      <c r="J210" s="13"/>
      <c r="K210" s="13"/>
      <c r="L210" s="13"/>
      <c r="M210" s="13"/>
      <c r="N210" s="14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35">
      <c r="A211" s="13"/>
      <c r="B211" s="13"/>
      <c r="C211" s="14"/>
      <c r="D211" s="13"/>
      <c r="E211" s="15"/>
      <c r="F211" s="16"/>
      <c r="G211" s="13"/>
      <c r="H211" s="13"/>
      <c r="I211" s="13"/>
      <c r="J211" s="13"/>
      <c r="K211" s="13"/>
      <c r="L211" s="13"/>
      <c r="M211" s="13"/>
      <c r="N211" s="14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35">
      <c r="A212" s="13"/>
      <c r="B212" s="13"/>
      <c r="C212" s="14"/>
      <c r="D212" s="13"/>
      <c r="E212" s="15"/>
      <c r="F212" s="16"/>
      <c r="G212" s="13"/>
      <c r="H212" s="13"/>
      <c r="I212" s="13"/>
      <c r="J212" s="13"/>
      <c r="K212" s="13"/>
      <c r="L212" s="13"/>
      <c r="M212" s="13"/>
      <c r="N212" s="14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35">
      <c r="A213" s="13"/>
      <c r="B213" s="13"/>
      <c r="C213" s="14"/>
      <c r="D213" s="13"/>
      <c r="E213" s="15"/>
      <c r="F213" s="16"/>
      <c r="G213" s="13"/>
      <c r="H213" s="13"/>
      <c r="I213" s="13"/>
      <c r="J213" s="13"/>
      <c r="K213" s="13"/>
      <c r="L213" s="13"/>
      <c r="M213" s="13"/>
      <c r="N213" s="14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35">
      <c r="A214" s="13"/>
      <c r="B214" s="13"/>
      <c r="C214" s="14"/>
      <c r="D214" s="13"/>
      <c r="E214" s="15"/>
      <c r="F214" s="16"/>
      <c r="G214" s="13"/>
      <c r="H214" s="13"/>
      <c r="I214" s="13"/>
      <c r="J214" s="13"/>
      <c r="K214" s="13"/>
      <c r="L214" s="13"/>
      <c r="M214" s="13"/>
      <c r="N214" s="14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35">
      <c r="A215" s="13"/>
      <c r="B215" s="13"/>
      <c r="C215" s="14"/>
      <c r="D215" s="13"/>
      <c r="E215" s="15"/>
      <c r="F215" s="16"/>
      <c r="G215" s="13"/>
      <c r="H215" s="13"/>
      <c r="I215" s="13"/>
      <c r="J215" s="13"/>
      <c r="K215" s="13"/>
      <c r="L215" s="13"/>
      <c r="M215" s="13"/>
      <c r="N215" s="14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35">
      <c r="A216" s="13"/>
      <c r="B216" s="13"/>
      <c r="C216" s="14"/>
      <c r="D216" s="13"/>
      <c r="E216" s="15"/>
      <c r="F216" s="16"/>
      <c r="G216" s="13"/>
      <c r="H216" s="13"/>
      <c r="I216" s="13"/>
      <c r="J216" s="13"/>
      <c r="K216" s="13"/>
      <c r="L216" s="13"/>
      <c r="M216" s="13"/>
      <c r="N216" s="14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35">
      <c r="A217" s="13"/>
      <c r="B217" s="13"/>
      <c r="C217" s="14"/>
      <c r="D217" s="13"/>
      <c r="E217" s="15"/>
      <c r="F217" s="16"/>
      <c r="G217" s="13"/>
      <c r="H217" s="13"/>
      <c r="I217" s="13"/>
      <c r="J217" s="13"/>
      <c r="K217" s="13"/>
      <c r="L217" s="13"/>
      <c r="M217" s="13"/>
      <c r="N217" s="14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35">
      <c r="A218" s="13"/>
      <c r="B218" s="13"/>
      <c r="C218" s="14"/>
      <c r="D218" s="13"/>
      <c r="E218" s="15"/>
      <c r="F218" s="16"/>
      <c r="G218" s="13"/>
      <c r="H218" s="13"/>
      <c r="I218" s="13"/>
      <c r="J218" s="13"/>
      <c r="K218" s="13"/>
      <c r="L218" s="13"/>
      <c r="M218" s="13"/>
      <c r="N218" s="14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35">
      <c r="A219" s="13"/>
      <c r="B219" s="13"/>
      <c r="C219" s="14"/>
      <c r="D219" s="13"/>
      <c r="E219" s="15"/>
      <c r="F219" s="16"/>
      <c r="G219" s="13"/>
      <c r="H219" s="13"/>
      <c r="I219" s="13"/>
      <c r="J219" s="13"/>
      <c r="K219" s="13"/>
      <c r="L219" s="13"/>
      <c r="M219" s="13"/>
      <c r="N219" s="14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35">
      <c r="A220" s="13"/>
      <c r="B220" s="13"/>
      <c r="C220" s="14"/>
      <c r="D220" s="13"/>
      <c r="E220" s="15"/>
      <c r="F220" s="16"/>
      <c r="G220" s="13"/>
      <c r="H220" s="13"/>
      <c r="I220" s="13"/>
      <c r="J220" s="13"/>
      <c r="K220" s="13"/>
      <c r="L220" s="13"/>
      <c r="M220" s="13"/>
      <c r="N220" s="14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35">
      <c r="A221" s="13"/>
      <c r="B221" s="13"/>
      <c r="C221" s="14"/>
      <c r="D221" s="13"/>
      <c r="E221" s="15"/>
      <c r="F221" s="16"/>
      <c r="G221" s="13"/>
      <c r="H221" s="13"/>
      <c r="I221" s="13"/>
      <c r="J221" s="13"/>
      <c r="K221" s="13"/>
      <c r="L221" s="13"/>
      <c r="M221" s="13"/>
      <c r="N221" s="14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35">
      <c r="A222" s="13"/>
      <c r="B222" s="13"/>
      <c r="C222" s="14"/>
      <c r="D222" s="13"/>
      <c r="E222" s="15"/>
      <c r="F222" s="16"/>
      <c r="G222" s="13"/>
      <c r="H222" s="13"/>
      <c r="I222" s="13"/>
      <c r="J222" s="13"/>
      <c r="K222" s="13"/>
      <c r="L222" s="13"/>
      <c r="M222" s="13"/>
      <c r="N222" s="14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35">
      <c r="A223" s="13"/>
      <c r="B223" s="13"/>
      <c r="C223" s="14"/>
      <c r="D223" s="13"/>
      <c r="E223" s="15"/>
      <c r="F223" s="16"/>
      <c r="G223" s="13"/>
      <c r="H223" s="13"/>
      <c r="I223" s="13"/>
      <c r="J223" s="13"/>
      <c r="K223" s="13"/>
      <c r="L223" s="13"/>
      <c r="M223" s="13"/>
      <c r="N223" s="14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35">
      <c r="A224" s="13"/>
      <c r="B224" s="13"/>
      <c r="C224" s="14"/>
      <c r="D224" s="13"/>
      <c r="E224" s="15"/>
      <c r="F224" s="16"/>
      <c r="G224" s="13"/>
      <c r="H224" s="13"/>
      <c r="I224" s="13"/>
      <c r="J224" s="13"/>
      <c r="K224" s="13"/>
      <c r="L224" s="13"/>
      <c r="M224" s="13"/>
      <c r="N224" s="14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35">
      <c r="A225" s="13"/>
      <c r="B225" s="13"/>
      <c r="C225" s="14"/>
      <c r="D225" s="13"/>
      <c r="E225" s="15"/>
      <c r="F225" s="16"/>
      <c r="G225" s="13"/>
      <c r="H225" s="13"/>
      <c r="I225" s="13"/>
      <c r="J225" s="13"/>
      <c r="K225" s="13"/>
      <c r="L225" s="13"/>
      <c r="M225" s="13"/>
      <c r="N225" s="14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35">
      <c r="A226" s="13"/>
      <c r="B226" s="13"/>
      <c r="C226" s="14"/>
      <c r="D226" s="13"/>
      <c r="E226" s="15"/>
      <c r="F226" s="16"/>
      <c r="G226" s="13"/>
      <c r="H226" s="13"/>
      <c r="I226" s="13"/>
      <c r="J226" s="13"/>
      <c r="K226" s="13"/>
      <c r="L226" s="13"/>
      <c r="M226" s="13"/>
      <c r="N226" s="14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35">
      <c r="A227" s="13"/>
      <c r="B227" s="13"/>
      <c r="C227" s="14"/>
      <c r="D227" s="13"/>
      <c r="E227" s="15"/>
      <c r="F227" s="16"/>
      <c r="G227" s="13"/>
      <c r="H227" s="13"/>
      <c r="I227" s="13"/>
      <c r="J227" s="13"/>
      <c r="K227" s="13"/>
      <c r="L227" s="13"/>
      <c r="M227" s="13"/>
      <c r="N227" s="14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35">
      <c r="A228" s="13"/>
      <c r="B228" s="13"/>
      <c r="C228" s="14"/>
      <c r="D228" s="13"/>
      <c r="E228" s="15"/>
      <c r="F228" s="16"/>
      <c r="G228" s="13"/>
      <c r="H228" s="13"/>
      <c r="I228" s="13"/>
      <c r="J228" s="13"/>
      <c r="K228" s="13"/>
      <c r="L228" s="13"/>
      <c r="M228" s="13"/>
      <c r="N228" s="14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35">
      <c r="A229" s="13"/>
      <c r="B229" s="13"/>
      <c r="C229" s="14"/>
      <c r="D229" s="13"/>
      <c r="E229" s="15"/>
      <c r="F229" s="16"/>
      <c r="G229" s="13"/>
      <c r="H229" s="13"/>
      <c r="I229" s="13"/>
      <c r="J229" s="13"/>
      <c r="K229" s="13"/>
      <c r="L229" s="13"/>
      <c r="M229" s="13"/>
      <c r="N229" s="14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35">
      <c r="A230" s="13"/>
      <c r="B230" s="13"/>
      <c r="C230" s="14"/>
      <c r="D230" s="13"/>
      <c r="E230" s="15"/>
      <c r="F230" s="16"/>
      <c r="G230" s="13"/>
      <c r="H230" s="13"/>
      <c r="I230" s="13"/>
      <c r="J230" s="13"/>
      <c r="K230" s="13"/>
      <c r="L230" s="13"/>
      <c r="M230" s="13"/>
      <c r="N230" s="14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35">
      <c r="A231" s="13"/>
      <c r="B231" s="13"/>
      <c r="C231" s="14"/>
      <c r="D231" s="13"/>
      <c r="E231" s="15"/>
      <c r="F231" s="16"/>
      <c r="G231" s="13"/>
      <c r="H231" s="13"/>
      <c r="I231" s="13"/>
      <c r="J231" s="13"/>
      <c r="K231" s="13"/>
      <c r="L231" s="13"/>
      <c r="M231" s="13"/>
      <c r="N231" s="14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35">
      <c r="A232" s="13"/>
      <c r="B232" s="13"/>
      <c r="C232" s="14"/>
      <c r="D232" s="13"/>
      <c r="E232" s="15"/>
      <c r="F232" s="16"/>
      <c r="G232" s="13"/>
      <c r="H232" s="13"/>
      <c r="I232" s="13"/>
      <c r="J232" s="13"/>
      <c r="K232" s="13"/>
      <c r="L232" s="13"/>
      <c r="M232" s="13"/>
      <c r="N232" s="14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35">
      <c r="A233" s="13"/>
      <c r="B233" s="13"/>
      <c r="C233" s="14"/>
      <c r="D233" s="13"/>
      <c r="E233" s="15"/>
      <c r="F233" s="16"/>
      <c r="G233" s="13"/>
      <c r="H233" s="13"/>
      <c r="I233" s="13"/>
      <c r="J233" s="13"/>
      <c r="K233" s="13"/>
      <c r="L233" s="13"/>
      <c r="M233" s="13"/>
      <c r="N233" s="14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35">
      <c r="A234" s="13"/>
      <c r="B234" s="13"/>
      <c r="C234" s="14"/>
      <c r="D234" s="13"/>
      <c r="E234" s="15"/>
      <c r="F234" s="16"/>
      <c r="G234" s="13"/>
      <c r="H234" s="13"/>
      <c r="I234" s="13"/>
      <c r="J234" s="13"/>
      <c r="K234" s="13"/>
      <c r="L234" s="13"/>
      <c r="M234" s="13"/>
      <c r="N234" s="14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35">
      <c r="A235" s="13"/>
      <c r="B235" s="13"/>
      <c r="C235" s="14"/>
      <c r="D235" s="13"/>
      <c r="E235" s="15"/>
      <c r="F235" s="16"/>
      <c r="G235" s="13"/>
      <c r="H235" s="13"/>
      <c r="I235" s="13"/>
      <c r="J235" s="13"/>
      <c r="K235" s="13"/>
      <c r="L235" s="13"/>
      <c r="M235" s="13"/>
      <c r="N235" s="14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35">
      <c r="A236" s="13"/>
      <c r="B236" s="13"/>
      <c r="C236" s="14"/>
      <c r="D236" s="13"/>
      <c r="E236" s="15"/>
      <c r="F236" s="16"/>
      <c r="G236" s="13"/>
      <c r="H236" s="13"/>
      <c r="I236" s="13"/>
      <c r="J236" s="13"/>
      <c r="K236" s="13"/>
      <c r="L236" s="13"/>
      <c r="M236" s="13"/>
      <c r="N236" s="14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35">
      <c r="A237" s="13"/>
      <c r="B237" s="13"/>
      <c r="C237" s="14"/>
      <c r="D237" s="13"/>
      <c r="E237" s="15"/>
      <c r="F237" s="16"/>
      <c r="G237" s="13"/>
      <c r="H237" s="13"/>
      <c r="I237" s="13"/>
      <c r="J237" s="13"/>
      <c r="K237" s="13"/>
      <c r="L237" s="13"/>
      <c r="M237" s="13"/>
      <c r="N237" s="14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35">
      <c r="A238" s="13"/>
      <c r="B238" s="13"/>
      <c r="C238" s="14"/>
      <c r="D238" s="13"/>
      <c r="E238" s="15"/>
      <c r="F238" s="16"/>
      <c r="G238" s="13"/>
      <c r="H238" s="13"/>
      <c r="I238" s="13"/>
      <c r="J238" s="13"/>
      <c r="K238" s="13"/>
      <c r="L238" s="13"/>
      <c r="M238" s="13"/>
      <c r="N238" s="14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35">
      <c r="A239" s="13"/>
      <c r="B239" s="13"/>
      <c r="C239" s="14"/>
      <c r="D239" s="13"/>
      <c r="E239" s="15"/>
      <c r="F239" s="16"/>
      <c r="G239" s="13"/>
      <c r="H239" s="13"/>
      <c r="I239" s="13"/>
      <c r="J239" s="13"/>
      <c r="K239" s="13"/>
      <c r="L239" s="13"/>
      <c r="M239" s="13"/>
      <c r="N239" s="14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35">
      <c r="A240" s="13"/>
      <c r="B240" s="13"/>
      <c r="C240" s="14"/>
      <c r="D240" s="13"/>
      <c r="E240" s="15"/>
      <c r="F240" s="16"/>
      <c r="G240" s="13"/>
      <c r="H240" s="13"/>
      <c r="I240" s="13"/>
      <c r="J240" s="13"/>
      <c r="K240" s="13"/>
      <c r="L240" s="13"/>
      <c r="M240" s="13"/>
      <c r="N240" s="14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35">
      <c r="A241" s="13"/>
      <c r="B241" s="13"/>
      <c r="C241" s="14"/>
      <c r="D241" s="13"/>
      <c r="E241" s="15"/>
      <c r="F241" s="16"/>
      <c r="G241" s="13"/>
      <c r="H241" s="13"/>
      <c r="I241" s="13"/>
      <c r="J241" s="13"/>
      <c r="K241" s="13"/>
      <c r="L241" s="13"/>
      <c r="M241" s="13"/>
      <c r="N241" s="14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35">
      <c r="A242" s="13"/>
      <c r="B242" s="13"/>
      <c r="C242" s="14"/>
      <c r="D242" s="13"/>
      <c r="E242" s="15"/>
      <c r="F242" s="16"/>
      <c r="G242" s="13"/>
      <c r="H242" s="13"/>
      <c r="I242" s="13"/>
      <c r="J242" s="13"/>
      <c r="K242" s="13"/>
      <c r="L242" s="13"/>
      <c r="M242" s="13"/>
      <c r="N242" s="14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35">
      <c r="A243" s="13"/>
      <c r="B243" s="13"/>
      <c r="C243" s="14"/>
      <c r="D243" s="13"/>
      <c r="E243" s="15"/>
      <c r="F243" s="16"/>
      <c r="G243" s="13"/>
      <c r="H243" s="13"/>
      <c r="I243" s="13"/>
      <c r="J243" s="13"/>
      <c r="K243" s="13"/>
      <c r="L243" s="13"/>
      <c r="M243" s="13"/>
      <c r="N243" s="14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35">
      <c r="A244" s="13"/>
      <c r="B244" s="13"/>
      <c r="C244" s="14"/>
      <c r="D244" s="13"/>
      <c r="E244" s="15"/>
      <c r="F244" s="16"/>
      <c r="G244" s="13"/>
      <c r="H244" s="13"/>
      <c r="I244" s="13"/>
      <c r="J244" s="13"/>
      <c r="K244" s="13"/>
      <c r="L244" s="13"/>
      <c r="M244" s="13"/>
      <c r="N244" s="14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35">
      <c r="A245" s="13"/>
      <c r="B245" s="13"/>
      <c r="C245" s="14"/>
      <c r="D245" s="13"/>
      <c r="E245" s="15"/>
      <c r="F245" s="16"/>
      <c r="G245" s="13"/>
      <c r="H245" s="13"/>
      <c r="I245" s="13"/>
      <c r="J245" s="13"/>
      <c r="K245" s="13"/>
      <c r="L245" s="13"/>
      <c r="M245" s="13"/>
      <c r="N245" s="14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35">
      <c r="A246" s="13"/>
      <c r="B246" s="13"/>
      <c r="C246" s="14"/>
      <c r="D246" s="13"/>
      <c r="E246" s="15"/>
      <c r="F246" s="16"/>
      <c r="G246" s="13"/>
      <c r="H246" s="13"/>
      <c r="I246" s="13"/>
      <c r="J246" s="13"/>
      <c r="K246" s="13"/>
      <c r="L246" s="13"/>
      <c r="M246" s="13"/>
      <c r="N246" s="14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35">
      <c r="A247" s="13"/>
      <c r="B247" s="13"/>
      <c r="C247" s="14"/>
      <c r="D247" s="13"/>
      <c r="E247" s="15"/>
      <c r="F247" s="16"/>
      <c r="G247" s="13"/>
      <c r="H247" s="13"/>
      <c r="I247" s="13"/>
      <c r="J247" s="13"/>
      <c r="K247" s="13"/>
      <c r="L247" s="13"/>
      <c r="M247" s="13"/>
      <c r="N247" s="14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35">
      <c r="A248" s="13"/>
      <c r="B248" s="13"/>
      <c r="C248" s="14"/>
      <c r="D248" s="13"/>
      <c r="E248" s="15"/>
      <c r="F248" s="16"/>
      <c r="G248" s="13"/>
      <c r="H248" s="13"/>
      <c r="I248" s="13"/>
      <c r="J248" s="13"/>
      <c r="K248" s="13"/>
      <c r="L248" s="13"/>
      <c r="M248" s="13"/>
      <c r="N248" s="14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35">
      <c r="A249" s="13"/>
      <c r="B249" s="13"/>
      <c r="C249" s="14"/>
      <c r="D249" s="13"/>
      <c r="E249" s="15"/>
      <c r="F249" s="16"/>
      <c r="G249" s="13"/>
      <c r="H249" s="13"/>
      <c r="I249" s="13"/>
      <c r="J249" s="13"/>
      <c r="K249" s="13"/>
      <c r="L249" s="13"/>
      <c r="M249" s="13"/>
      <c r="N249" s="14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35">
      <c r="A250" s="13"/>
      <c r="B250" s="13"/>
      <c r="C250" s="14"/>
      <c r="D250" s="13"/>
      <c r="E250" s="15"/>
      <c r="F250" s="16"/>
      <c r="G250" s="13"/>
      <c r="H250" s="13"/>
      <c r="I250" s="13"/>
      <c r="J250" s="13"/>
      <c r="K250" s="13"/>
      <c r="L250" s="13"/>
      <c r="M250" s="13"/>
      <c r="N250" s="14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35">
      <c r="A251" s="13"/>
      <c r="B251" s="13"/>
      <c r="C251" s="14"/>
      <c r="D251" s="13"/>
      <c r="E251" s="15"/>
      <c r="F251" s="16"/>
      <c r="G251" s="13"/>
      <c r="H251" s="13"/>
      <c r="I251" s="13"/>
      <c r="J251" s="13"/>
      <c r="K251" s="13"/>
      <c r="L251" s="13"/>
      <c r="M251" s="13"/>
      <c r="N251" s="14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35">
      <c r="A252" s="13"/>
      <c r="B252" s="13"/>
      <c r="C252" s="14"/>
      <c r="D252" s="13"/>
      <c r="E252" s="15"/>
      <c r="F252" s="16"/>
      <c r="G252" s="13"/>
      <c r="H252" s="13"/>
      <c r="I252" s="13"/>
      <c r="J252" s="13"/>
      <c r="K252" s="13"/>
      <c r="L252" s="13"/>
      <c r="M252" s="13"/>
      <c r="N252" s="14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35">
      <c r="A253" s="13"/>
      <c r="B253" s="13"/>
      <c r="C253" s="14"/>
      <c r="D253" s="13"/>
      <c r="E253" s="15"/>
      <c r="F253" s="16"/>
      <c r="G253" s="13"/>
      <c r="H253" s="13"/>
      <c r="I253" s="13"/>
      <c r="J253" s="13"/>
      <c r="K253" s="13"/>
      <c r="L253" s="13"/>
      <c r="M253" s="13"/>
      <c r="N253" s="14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35">
      <c r="A254" s="13"/>
      <c r="B254" s="13"/>
      <c r="C254" s="14"/>
      <c r="D254" s="13"/>
      <c r="E254" s="15"/>
      <c r="F254" s="16"/>
      <c r="G254" s="13"/>
      <c r="H254" s="13"/>
      <c r="I254" s="13"/>
      <c r="J254" s="13"/>
      <c r="K254" s="13"/>
      <c r="L254" s="13"/>
      <c r="M254" s="13"/>
      <c r="N254" s="14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35">
      <c r="A255" s="13"/>
      <c r="B255" s="13"/>
      <c r="C255" s="14"/>
      <c r="D255" s="13"/>
      <c r="E255" s="15"/>
      <c r="F255" s="16"/>
      <c r="G255" s="13"/>
      <c r="H255" s="13"/>
      <c r="I255" s="13"/>
      <c r="J255" s="13"/>
      <c r="K255" s="13"/>
      <c r="L255" s="13"/>
      <c r="M255" s="13"/>
      <c r="N255" s="14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35">
      <c r="A256" s="13"/>
      <c r="B256" s="13"/>
      <c r="C256" s="14"/>
      <c r="D256" s="13"/>
      <c r="E256" s="15"/>
      <c r="F256" s="16"/>
      <c r="G256" s="13"/>
      <c r="H256" s="13"/>
      <c r="I256" s="13"/>
      <c r="J256" s="13"/>
      <c r="K256" s="13"/>
      <c r="L256" s="13"/>
      <c r="M256" s="13"/>
      <c r="N256" s="14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35">
      <c r="A257" s="13"/>
      <c r="B257" s="13"/>
      <c r="C257" s="14"/>
      <c r="D257" s="13"/>
      <c r="E257" s="15"/>
      <c r="F257" s="16"/>
      <c r="G257" s="13"/>
      <c r="H257" s="13"/>
      <c r="I257" s="13"/>
      <c r="J257" s="13"/>
      <c r="K257" s="13"/>
      <c r="L257" s="13"/>
      <c r="M257" s="13"/>
      <c r="N257" s="14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35">
      <c r="A258" s="13"/>
      <c r="B258" s="13"/>
      <c r="C258" s="14"/>
      <c r="D258" s="13"/>
      <c r="E258" s="15"/>
      <c r="F258" s="16"/>
      <c r="G258" s="13"/>
      <c r="H258" s="13"/>
      <c r="I258" s="13"/>
      <c r="J258" s="13"/>
      <c r="K258" s="13"/>
      <c r="L258" s="13"/>
      <c r="M258" s="13"/>
      <c r="N258" s="14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35">
      <c r="A259" s="13"/>
      <c r="B259" s="13"/>
      <c r="C259" s="14"/>
      <c r="D259" s="13"/>
      <c r="E259" s="15"/>
      <c r="F259" s="16"/>
      <c r="G259" s="13"/>
      <c r="H259" s="13"/>
      <c r="I259" s="13"/>
      <c r="J259" s="13"/>
      <c r="K259" s="13"/>
      <c r="L259" s="13"/>
      <c r="M259" s="13"/>
      <c r="N259" s="14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35">
      <c r="A260" s="13"/>
      <c r="B260" s="13"/>
      <c r="C260" s="14"/>
      <c r="D260" s="13"/>
      <c r="E260" s="15"/>
      <c r="F260" s="16"/>
      <c r="G260" s="13"/>
      <c r="H260" s="13"/>
      <c r="I260" s="13"/>
      <c r="J260" s="13"/>
      <c r="K260" s="13"/>
      <c r="L260" s="13"/>
      <c r="M260" s="13"/>
      <c r="N260" s="14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35">
      <c r="A261" s="13"/>
      <c r="B261" s="13"/>
      <c r="C261" s="14"/>
      <c r="D261" s="13"/>
      <c r="E261" s="15"/>
      <c r="F261" s="16"/>
      <c r="G261" s="13"/>
      <c r="H261" s="13"/>
      <c r="I261" s="13"/>
      <c r="J261" s="13"/>
      <c r="K261" s="13"/>
      <c r="L261" s="13"/>
      <c r="M261" s="13"/>
      <c r="N261" s="14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35">
      <c r="A262" s="13"/>
      <c r="B262" s="13"/>
      <c r="C262" s="14"/>
      <c r="D262" s="13"/>
      <c r="E262" s="15"/>
      <c r="F262" s="16"/>
      <c r="G262" s="13"/>
      <c r="H262" s="13"/>
      <c r="I262" s="13"/>
      <c r="J262" s="13"/>
      <c r="K262" s="13"/>
      <c r="L262" s="13"/>
      <c r="M262" s="13"/>
      <c r="N262" s="14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35">
      <c r="A263" s="13"/>
      <c r="B263" s="13"/>
      <c r="C263" s="14"/>
      <c r="D263" s="13"/>
      <c r="E263" s="15"/>
      <c r="F263" s="16"/>
      <c r="G263" s="13"/>
      <c r="H263" s="13"/>
      <c r="I263" s="13"/>
      <c r="J263" s="13"/>
      <c r="K263" s="13"/>
      <c r="L263" s="13"/>
      <c r="M263" s="13"/>
      <c r="N263" s="14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</sheetData>
  <mergeCells count="54">
    <mergeCell ref="N7:N8"/>
    <mergeCell ref="F7:F8"/>
    <mergeCell ref="G7:G8"/>
    <mergeCell ref="I7:I8"/>
    <mergeCell ref="J7:J8"/>
    <mergeCell ref="K7:K8"/>
    <mergeCell ref="L7:L8"/>
    <mergeCell ref="H7:H8"/>
    <mergeCell ref="A1:A3"/>
    <mergeCell ref="B1:C1"/>
    <mergeCell ref="D1:J1"/>
    <mergeCell ref="K1:L1"/>
    <mergeCell ref="M7:M8"/>
    <mergeCell ref="M1:N1"/>
    <mergeCell ref="D2:J2"/>
    <mergeCell ref="K2:L2"/>
    <mergeCell ref="M3:N3"/>
    <mergeCell ref="B2:C2"/>
    <mergeCell ref="B3:C3"/>
    <mergeCell ref="D3:J3"/>
    <mergeCell ref="K3:L3"/>
    <mergeCell ref="A7:A8"/>
    <mergeCell ref="B7:B8"/>
    <mergeCell ref="C7:C8"/>
    <mergeCell ref="D7:D8"/>
    <mergeCell ref="E7:E8"/>
    <mergeCell ref="A117:H117"/>
    <mergeCell ref="A127:H127"/>
    <mergeCell ref="A10:N10"/>
    <mergeCell ref="N12:N13"/>
    <mergeCell ref="A17:H17"/>
    <mergeCell ref="A18:N18"/>
    <mergeCell ref="A30:N30"/>
    <mergeCell ref="N32:N33"/>
    <mergeCell ref="A29:H29"/>
    <mergeCell ref="A38:H38"/>
    <mergeCell ref="A50:H50"/>
    <mergeCell ref="A58:H58"/>
    <mergeCell ref="A59:N59"/>
    <mergeCell ref="A70:N70"/>
    <mergeCell ref="A69:H69"/>
    <mergeCell ref="A80:H80"/>
    <mergeCell ref="A81:N81"/>
    <mergeCell ref="N84:N85"/>
    <mergeCell ref="A87:H87"/>
    <mergeCell ref="A88:N88"/>
    <mergeCell ref="A108:B108"/>
    <mergeCell ref="A111:H111"/>
    <mergeCell ref="A112:N112"/>
    <mergeCell ref="N90:N91"/>
    <mergeCell ref="A95:H95"/>
    <mergeCell ref="A96:N96"/>
    <mergeCell ref="A106:H106"/>
    <mergeCell ref="A107:N107"/>
  </mergeCells>
  <phoneticPr fontId="33" type="noConversion"/>
  <printOptions horizontalCentered="1"/>
  <pageMargins left="0.25" right="0.25" top="0.75" bottom="0.75" header="0" footer="0"/>
  <pageSetup paperSize="14" scale="90" orientation="landscape" r:id="rId1"/>
  <headerFooter>
    <oddFooter>&amp;LPage &amp;P of 32</oddFooter>
  </headerFooter>
  <rowBreaks count="1" manualBreakCount="1">
    <brk id="9" max="13" man="1"/>
  </rowBreaks>
  <colBreaks count="1" manualBreakCount="1">
    <brk id="1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06F0-4071-4C81-B4FC-89F1FCEBAF17}">
  <dimension ref="A1:J122"/>
  <sheetViews>
    <sheetView topLeftCell="A69" zoomScaleNormal="100" workbookViewId="0">
      <selection activeCell="D62" sqref="D62"/>
    </sheetView>
  </sheetViews>
  <sheetFormatPr defaultRowHeight="14.5" x14ac:dyDescent="0.35"/>
  <cols>
    <col min="2" max="2" width="30" customWidth="1"/>
    <col min="4" max="4" width="27" customWidth="1"/>
    <col min="5" max="5" width="14.54296875" customWidth="1"/>
    <col min="9" max="9" width="14.36328125" customWidth="1"/>
  </cols>
  <sheetData>
    <row r="1" spans="1:10" x14ac:dyDescent="0.35">
      <c r="A1" s="324"/>
      <c r="B1" s="326" t="s">
        <v>0</v>
      </c>
      <c r="C1" s="304"/>
      <c r="D1" s="93"/>
      <c r="E1" s="94"/>
      <c r="F1" s="328" t="s">
        <v>1</v>
      </c>
      <c r="G1" s="304"/>
      <c r="H1" s="328" t="s">
        <v>2</v>
      </c>
      <c r="I1" s="304"/>
      <c r="J1" s="1"/>
    </row>
    <row r="2" spans="1:10" x14ac:dyDescent="0.35">
      <c r="A2" s="325"/>
      <c r="B2" s="326" t="s">
        <v>3</v>
      </c>
      <c r="C2" s="304"/>
      <c r="D2" s="93"/>
      <c r="E2" s="94"/>
      <c r="F2" s="328" t="s">
        <v>4</v>
      </c>
      <c r="G2" s="304"/>
      <c r="H2" s="2">
        <v>0</v>
      </c>
      <c r="I2" s="3"/>
      <c r="J2" s="4"/>
    </row>
    <row r="3" spans="1:10" x14ac:dyDescent="0.35">
      <c r="A3" s="309"/>
      <c r="B3" s="326" t="s">
        <v>5</v>
      </c>
      <c r="C3" s="304"/>
      <c r="D3" s="93"/>
      <c r="E3" s="94"/>
      <c r="F3" s="328" t="s">
        <v>6</v>
      </c>
      <c r="G3" s="304"/>
      <c r="H3" s="329" t="s">
        <v>7</v>
      </c>
      <c r="I3" s="304"/>
      <c r="J3" s="5"/>
    </row>
    <row r="4" spans="1:10" x14ac:dyDescent="0.35">
      <c r="A4" s="9" t="s">
        <v>8</v>
      </c>
      <c r="B4" s="6" t="s">
        <v>9</v>
      </c>
      <c r="C4" s="10"/>
      <c r="D4" s="7"/>
      <c r="E4" s="7"/>
      <c r="F4" s="7"/>
      <c r="G4" s="7"/>
      <c r="H4" s="7"/>
      <c r="I4" s="3"/>
      <c r="J4" s="4"/>
    </row>
    <row r="5" spans="1:10" x14ac:dyDescent="0.35">
      <c r="A5" s="9" t="s">
        <v>10</v>
      </c>
      <c r="B5" s="6" t="s">
        <v>11</v>
      </c>
      <c r="C5" s="3"/>
      <c r="D5" s="7"/>
      <c r="E5" s="7"/>
      <c r="F5" s="7"/>
      <c r="G5" s="7"/>
      <c r="H5" s="7"/>
      <c r="I5" s="3"/>
      <c r="J5" s="4"/>
    </row>
    <row r="6" spans="1:10" x14ac:dyDescent="0.35">
      <c r="A6" s="337" t="s">
        <v>161</v>
      </c>
      <c r="B6" s="338"/>
      <c r="C6" s="338"/>
      <c r="D6" s="338"/>
      <c r="E6" s="338"/>
      <c r="F6" s="338"/>
      <c r="G6" s="338"/>
      <c r="H6" s="338"/>
      <c r="I6" s="338"/>
    </row>
    <row r="7" spans="1:10" x14ac:dyDescent="0.35">
      <c r="A7" s="339" t="s">
        <v>13</v>
      </c>
      <c r="B7" s="339" t="s">
        <v>14</v>
      </c>
      <c r="C7" s="339" t="s">
        <v>137</v>
      </c>
      <c r="D7" s="95" t="s">
        <v>17</v>
      </c>
      <c r="E7" s="95" t="s">
        <v>18</v>
      </c>
      <c r="F7" s="339" t="s">
        <v>138</v>
      </c>
      <c r="G7" s="339"/>
      <c r="H7" s="339" t="s">
        <v>139</v>
      </c>
      <c r="I7" s="339"/>
    </row>
    <row r="8" spans="1:10" x14ac:dyDescent="0.35">
      <c r="A8" s="250" t="s">
        <v>304</v>
      </c>
      <c r="B8" s="254" t="s">
        <v>140</v>
      </c>
      <c r="C8" s="253">
        <v>4</v>
      </c>
      <c r="D8" s="96" t="s">
        <v>370</v>
      </c>
      <c r="E8" s="99" t="s">
        <v>378</v>
      </c>
      <c r="F8" s="347" t="s">
        <v>315</v>
      </c>
      <c r="G8" s="347"/>
      <c r="H8" s="367" t="s">
        <v>372</v>
      </c>
      <c r="I8" s="368"/>
    </row>
    <row r="9" spans="1:10" x14ac:dyDescent="0.35">
      <c r="A9" s="250" t="s">
        <v>305</v>
      </c>
      <c r="B9" s="254" t="s">
        <v>35</v>
      </c>
      <c r="C9" s="253">
        <v>4</v>
      </c>
      <c r="D9" s="253" t="s">
        <v>454</v>
      </c>
      <c r="E9" s="225" t="s">
        <v>455</v>
      </c>
      <c r="F9" s="347" t="s">
        <v>456</v>
      </c>
      <c r="G9" s="347"/>
      <c r="H9" s="359" t="s">
        <v>141</v>
      </c>
      <c r="I9" s="360"/>
    </row>
    <row r="10" spans="1:10" x14ac:dyDescent="0.35">
      <c r="A10" s="250" t="s">
        <v>261</v>
      </c>
      <c r="B10" s="254" t="s">
        <v>142</v>
      </c>
      <c r="C10" s="253">
        <v>3</v>
      </c>
      <c r="D10" s="253" t="s">
        <v>316</v>
      </c>
      <c r="E10" s="225" t="s">
        <v>299</v>
      </c>
      <c r="F10" s="347" t="s">
        <v>65</v>
      </c>
      <c r="G10" s="347"/>
      <c r="H10" s="359" t="s">
        <v>195</v>
      </c>
      <c r="I10" s="360"/>
    </row>
    <row r="11" spans="1:10" x14ac:dyDescent="0.35">
      <c r="A11" s="250" t="s">
        <v>306</v>
      </c>
      <c r="B11" s="254" t="s">
        <v>307</v>
      </c>
      <c r="C11" s="253">
        <v>2</v>
      </c>
      <c r="D11" s="253" t="s">
        <v>452</v>
      </c>
      <c r="E11" s="225" t="s">
        <v>40</v>
      </c>
      <c r="F11" s="347" t="s">
        <v>318</v>
      </c>
      <c r="G11" s="347"/>
      <c r="H11" s="359" t="s">
        <v>148</v>
      </c>
      <c r="I11" s="360"/>
    </row>
    <row r="12" spans="1:10" x14ac:dyDescent="0.35">
      <c r="A12" s="250" t="s">
        <v>308</v>
      </c>
      <c r="B12" s="254" t="s">
        <v>309</v>
      </c>
      <c r="C12" s="253">
        <v>4</v>
      </c>
      <c r="D12" s="253" t="s">
        <v>319</v>
      </c>
      <c r="E12" s="99" t="s">
        <v>373</v>
      </c>
      <c r="F12" s="347" t="s">
        <v>320</v>
      </c>
      <c r="G12" s="347"/>
      <c r="H12" s="359" t="s">
        <v>374</v>
      </c>
      <c r="I12" s="360"/>
    </row>
    <row r="13" spans="1:10" x14ac:dyDescent="0.35">
      <c r="A13" s="250" t="s">
        <v>310</v>
      </c>
      <c r="B13" s="254" t="s">
        <v>149</v>
      </c>
      <c r="C13" s="253">
        <v>4</v>
      </c>
      <c r="D13" s="241" t="s">
        <v>388</v>
      </c>
      <c r="E13" s="241" t="s">
        <v>44</v>
      </c>
      <c r="F13" s="343" t="s">
        <v>325</v>
      </c>
      <c r="G13" s="347"/>
      <c r="H13" s="359" t="s">
        <v>377</v>
      </c>
      <c r="I13" s="360"/>
    </row>
    <row r="14" spans="1:10" x14ac:dyDescent="0.35">
      <c r="A14" s="250" t="s">
        <v>311</v>
      </c>
      <c r="B14" s="255" t="s">
        <v>312</v>
      </c>
      <c r="C14" s="253">
        <v>2</v>
      </c>
      <c r="D14" s="253" t="s">
        <v>135</v>
      </c>
      <c r="E14" s="225" t="s">
        <v>34</v>
      </c>
      <c r="F14" s="343" t="s">
        <v>376</v>
      </c>
      <c r="G14" s="347"/>
      <c r="H14" s="359" t="s">
        <v>375</v>
      </c>
      <c r="I14" s="360"/>
    </row>
    <row r="15" spans="1:10" ht="15" thickBot="1" x14ac:dyDescent="0.4">
      <c r="A15" s="251" t="s">
        <v>313</v>
      </c>
      <c r="B15" s="256" t="s">
        <v>314</v>
      </c>
      <c r="C15" s="253">
        <v>3</v>
      </c>
      <c r="D15" s="253" t="s">
        <v>136</v>
      </c>
      <c r="E15" s="225" t="s">
        <v>153</v>
      </c>
      <c r="F15" s="347" t="s">
        <v>55</v>
      </c>
      <c r="G15" s="347"/>
      <c r="H15" s="359" t="s">
        <v>154</v>
      </c>
      <c r="I15" s="360"/>
    </row>
    <row r="16" spans="1:10" x14ac:dyDescent="0.35">
      <c r="A16" s="96" t="s">
        <v>155</v>
      </c>
      <c r="B16" s="97" t="s">
        <v>28</v>
      </c>
      <c r="C16" s="104">
        <v>25</v>
      </c>
      <c r="D16" s="96" t="s">
        <v>155</v>
      </c>
      <c r="E16" s="96" t="s">
        <v>155</v>
      </c>
      <c r="F16" s="357" t="s">
        <v>155</v>
      </c>
      <c r="G16" s="358"/>
      <c r="H16" s="340"/>
      <c r="I16" s="340"/>
    </row>
    <row r="17" spans="1:9" x14ac:dyDescent="0.35">
      <c r="A17" s="105"/>
      <c r="B17" s="106"/>
      <c r="C17" s="107"/>
      <c r="D17" s="105"/>
      <c r="E17" s="105"/>
      <c r="F17" s="105"/>
      <c r="G17" s="105"/>
      <c r="H17" s="108"/>
      <c r="I17" s="108"/>
    </row>
    <row r="18" spans="1:9" x14ac:dyDescent="0.35">
      <c r="A18" s="352" t="s">
        <v>160</v>
      </c>
      <c r="B18" s="353"/>
      <c r="C18" s="353"/>
      <c r="D18" s="353"/>
      <c r="E18" s="353"/>
      <c r="F18" s="353"/>
      <c r="G18" s="353"/>
      <c r="H18" s="353"/>
      <c r="I18" s="353"/>
    </row>
    <row r="19" spans="1:9" x14ac:dyDescent="0.35">
      <c r="A19" s="95" t="s">
        <v>13</v>
      </c>
      <c r="B19" s="95" t="s">
        <v>14</v>
      </c>
      <c r="C19" s="95" t="s">
        <v>137</v>
      </c>
      <c r="D19" s="95" t="s">
        <v>17</v>
      </c>
      <c r="E19" s="95" t="s">
        <v>18</v>
      </c>
      <c r="F19" s="339" t="s">
        <v>138</v>
      </c>
      <c r="G19" s="339"/>
      <c r="H19" s="339" t="s">
        <v>139</v>
      </c>
      <c r="I19" s="339"/>
    </row>
    <row r="20" spans="1:9" x14ac:dyDescent="0.35">
      <c r="A20" s="250" t="s">
        <v>304</v>
      </c>
      <c r="B20" s="254" t="s">
        <v>140</v>
      </c>
      <c r="C20" s="258">
        <v>4</v>
      </c>
      <c r="D20" s="279" t="s">
        <v>381</v>
      </c>
      <c r="E20" s="280" t="s">
        <v>373</v>
      </c>
      <c r="F20" s="356" t="s">
        <v>382</v>
      </c>
      <c r="G20" s="332"/>
      <c r="H20" s="341" t="s">
        <v>383</v>
      </c>
      <c r="I20" s="342"/>
    </row>
    <row r="21" spans="1:9" x14ac:dyDescent="0.35">
      <c r="A21" s="250" t="s">
        <v>305</v>
      </c>
      <c r="B21" s="254" t="s">
        <v>35</v>
      </c>
      <c r="C21" s="258">
        <v>4</v>
      </c>
      <c r="D21" s="257" t="s">
        <v>136</v>
      </c>
      <c r="E21" s="277" t="s">
        <v>44</v>
      </c>
      <c r="F21" s="332" t="s">
        <v>321</v>
      </c>
      <c r="G21" s="332"/>
      <c r="H21" s="333" t="s">
        <v>141</v>
      </c>
      <c r="I21" s="334"/>
    </row>
    <row r="22" spans="1:9" x14ac:dyDescent="0.35">
      <c r="A22" s="250" t="s">
        <v>261</v>
      </c>
      <c r="B22" s="254" t="s">
        <v>142</v>
      </c>
      <c r="C22" s="258">
        <v>3</v>
      </c>
      <c r="D22" s="257" t="s">
        <v>322</v>
      </c>
      <c r="E22" s="277" t="s">
        <v>133</v>
      </c>
      <c r="F22" s="332" t="s">
        <v>209</v>
      </c>
      <c r="G22" s="332"/>
      <c r="H22" s="333" t="s">
        <v>144</v>
      </c>
      <c r="I22" s="334"/>
    </row>
    <row r="23" spans="1:9" x14ac:dyDescent="0.35">
      <c r="A23" s="250" t="s">
        <v>306</v>
      </c>
      <c r="B23" s="254" t="s">
        <v>307</v>
      </c>
      <c r="C23" s="258">
        <v>2</v>
      </c>
      <c r="D23" s="257" t="s">
        <v>136</v>
      </c>
      <c r="E23" s="277" t="s">
        <v>323</v>
      </c>
      <c r="F23" s="332" t="s">
        <v>324</v>
      </c>
      <c r="G23" s="332"/>
      <c r="H23" s="333" t="s">
        <v>158</v>
      </c>
      <c r="I23" s="334"/>
    </row>
    <row r="24" spans="1:9" x14ac:dyDescent="0.35">
      <c r="A24" s="250" t="s">
        <v>308</v>
      </c>
      <c r="B24" s="254" t="s">
        <v>309</v>
      </c>
      <c r="C24" s="258">
        <v>4</v>
      </c>
      <c r="D24" s="279" t="s">
        <v>385</v>
      </c>
      <c r="E24" s="280" t="s">
        <v>384</v>
      </c>
      <c r="F24" s="356" t="s">
        <v>386</v>
      </c>
      <c r="G24" s="332"/>
      <c r="H24" s="333" t="s">
        <v>387</v>
      </c>
      <c r="I24" s="335"/>
    </row>
    <row r="25" spans="1:9" x14ac:dyDescent="0.35">
      <c r="A25" s="250" t="s">
        <v>310</v>
      </c>
      <c r="B25" s="254" t="s">
        <v>149</v>
      </c>
      <c r="C25" s="258">
        <v>4</v>
      </c>
      <c r="D25" s="278" t="s">
        <v>379</v>
      </c>
      <c r="E25" s="278" t="s">
        <v>45</v>
      </c>
      <c r="F25" s="278" t="s">
        <v>325</v>
      </c>
      <c r="H25" s="297" t="s">
        <v>380</v>
      </c>
      <c r="I25" s="298"/>
    </row>
    <row r="26" spans="1:9" x14ac:dyDescent="0.35">
      <c r="A26" s="250" t="s">
        <v>311</v>
      </c>
      <c r="B26" s="255" t="s">
        <v>312</v>
      </c>
      <c r="C26" s="258">
        <v>2</v>
      </c>
      <c r="D26" s="257" t="s">
        <v>326</v>
      </c>
      <c r="E26" s="277" t="s">
        <v>32</v>
      </c>
      <c r="F26" s="332" t="s">
        <v>327</v>
      </c>
      <c r="G26" s="332"/>
      <c r="H26" s="333" t="s">
        <v>375</v>
      </c>
      <c r="I26" s="336"/>
    </row>
    <row r="27" spans="1:9" ht="15" thickBot="1" x14ac:dyDescent="0.4">
      <c r="A27" s="251" t="s">
        <v>313</v>
      </c>
      <c r="B27" s="256" t="s">
        <v>314</v>
      </c>
      <c r="C27" s="258">
        <v>3</v>
      </c>
      <c r="D27" s="253" t="s">
        <v>136</v>
      </c>
      <c r="E27" s="253" t="s">
        <v>153</v>
      </c>
      <c r="F27" s="363" t="s">
        <v>76</v>
      </c>
      <c r="G27" s="364"/>
      <c r="H27" s="365" t="s">
        <v>159</v>
      </c>
      <c r="I27" s="366"/>
    </row>
    <row r="28" spans="1:9" x14ac:dyDescent="0.35">
      <c r="A28" s="100"/>
      <c r="B28" s="103" t="s">
        <v>28</v>
      </c>
      <c r="C28" s="104">
        <v>25</v>
      </c>
      <c r="D28" s="100"/>
      <c r="E28" s="100"/>
      <c r="F28" s="354"/>
      <c r="G28" s="354"/>
      <c r="H28" s="350"/>
      <c r="I28" s="351"/>
    </row>
    <row r="29" spans="1:9" x14ac:dyDescent="0.35">
      <c r="F29" s="344"/>
      <c r="G29" s="344"/>
      <c r="H29" s="344"/>
      <c r="I29" s="344"/>
    </row>
    <row r="30" spans="1:9" x14ac:dyDescent="0.35">
      <c r="A30" s="352" t="s">
        <v>164</v>
      </c>
      <c r="B30" s="353"/>
      <c r="C30" s="353"/>
      <c r="D30" s="353"/>
      <c r="E30" s="353"/>
      <c r="F30" s="353"/>
      <c r="G30" s="353"/>
      <c r="H30" s="353"/>
      <c r="I30" s="353"/>
    </row>
    <row r="31" spans="1:9" x14ac:dyDescent="0.35">
      <c r="A31" s="95" t="s">
        <v>13</v>
      </c>
      <c r="B31" s="95" t="s">
        <v>14</v>
      </c>
      <c r="C31" s="95" t="s">
        <v>137</v>
      </c>
      <c r="D31" s="95" t="s">
        <v>17</v>
      </c>
      <c r="E31" s="95" t="s">
        <v>18</v>
      </c>
      <c r="F31" s="339" t="s">
        <v>138</v>
      </c>
      <c r="G31" s="339"/>
      <c r="H31" s="339" t="s">
        <v>139</v>
      </c>
      <c r="I31" s="339"/>
    </row>
    <row r="32" spans="1:9" x14ac:dyDescent="0.35">
      <c r="A32" s="250" t="s">
        <v>304</v>
      </c>
      <c r="B32" s="254" t="s">
        <v>140</v>
      </c>
      <c r="C32" s="258">
        <v>4</v>
      </c>
      <c r="D32" s="96" t="s">
        <v>389</v>
      </c>
      <c r="E32" s="99" t="s">
        <v>384</v>
      </c>
      <c r="F32" s="347" t="s">
        <v>328</v>
      </c>
      <c r="G32" s="347"/>
      <c r="H32" s="346" t="s">
        <v>371</v>
      </c>
      <c r="I32" s="346"/>
    </row>
    <row r="33" spans="1:9" x14ac:dyDescent="0.35">
      <c r="A33" s="250" t="s">
        <v>305</v>
      </c>
      <c r="B33" s="254" t="s">
        <v>35</v>
      </c>
      <c r="C33" s="258">
        <v>4</v>
      </c>
      <c r="D33" s="253" t="s">
        <v>329</v>
      </c>
      <c r="E33" s="99" t="s">
        <v>45</v>
      </c>
      <c r="F33" s="347" t="s">
        <v>165</v>
      </c>
      <c r="G33" s="347"/>
      <c r="H33" s="347" t="s">
        <v>141</v>
      </c>
      <c r="I33" s="347"/>
    </row>
    <row r="34" spans="1:9" x14ac:dyDescent="0.35">
      <c r="A34" s="250" t="s">
        <v>261</v>
      </c>
      <c r="B34" s="254" t="s">
        <v>142</v>
      </c>
      <c r="C34" s="258">
        <v>3</v>
      </c>
      <c r="D34" s="96" t="s">
        <v>394</v>
      </c>
      <c r="E34" s="99" t="s">
        <v>45</v>
      </c>
      <c r="F34" s="347" t="s">
        <v>209</v>
      </c>
      <c r="G34" s="347"/>
      <c r="H34" s="347" t="s">
        <v>195</v>
      </c>
      <c r="I34" s="347"/>
    </row>
    <row r="35" spans="1:9" x14ac:dyDescent="0.35">
      <c r="A35" s="250" t="s">
        <v>306</v>
      </c>
      <c r="B35" s="254" t="s">
        <v>307</v>
      </c>
      <c r="C35" s="258">
        <v>2</v>
      </c>
      <c r="D35" s="96" t="s">
        <v>284</v>
      </c>
      <c r="E35" s="225" t="s">
        <v>317</v>
      </c>
      <c r="F35" s="347" t="s">
        <v>318</v>
      </c>
      <c r="G35" s="347"/>
      <c r="H35" s="347" t="s">
        <v>166</v>
      </c>
      <c r="I35" s="347"/>
    </row>
    <row r="36" spans="1:9" x14ac:dyDescent="0.35">
      <c r="A36" s="250" t="s">
        <v>308</v>
      </c>
      <c r="B36" s="254" t="s">
        <v>309</v>
      </c>
      <c r="C36" s="258">
        <v>4</v>
      </c>
      <c r="D36" s="96" t="s">
        <v>390</v>
      </c>
      <c r="E36" s="99" t="s">
        <v>391</v>
      </c>
      <c r="F36" s="343" t="s">
        <v>392</v>
      </c>
      <c r="G36" s="343"/>
      <c r="H36" s="355" t="s">
        <v>393</v>
      </c>
      <c r="I36" s="355"/>
    </row>
    <row r="37" spans="1:9" x14ac:dyDescent="0.35">
      <c r="A37" s="250" t="s">
        <v>310</v>
      </c>
      <c r="B37" s="254" t="s">
        <v>149</v>
      </c>
      <c r="C37" s="258">
        <v>4</v>
      </c>
      <c r="D37" s="253" t="s">
        <v>162</v>
      </c>
      <c r="E37" s="225" t="s">
        <v>44</v>
      </c>
      <c r="F37" s="347" t="s">
        <v>325</v>
      </c>
      <c r="G37" s="347"/>
      <c r="H37" s="347" t="s">
        <v>395</v>
      </c>
      <c r="I37" s="347"/>
    </row>
    <row r="38" spans="1:9" x14ac:dyDescent="0.35">
      <c r="A38" s="250" t="s">
        <v>311</v>
      </c>
      <c r="B38" s="255" t="s">
        <v>312</v>
      </c>
      <c r="C38" s="258">
        <v>2</v>
      </c>
      <c r="D38" s="96" t="s">
        <v>397</v>
      </c>
      <c r="E38" s="225" t="s">
        <v>36</v>
      </c>
      <c r="F38" s="347" t="s">
        <v>331</v>
      </c>
      <c r="G38" s="347"/>
      <c r="H38" s="347" t="s">
        <v>396</v>
      </c>
      <c r="I38" s="347"/>
    </row>
    <row r="39" spans="1:9" ht="15" thickBot="1" x14ac:dyDescent="0.4">
      <c r="A39" s="251" t="s">
        <v>313</v>
      </c>
      <c r="B39" s="256" t="s">
        <v>314</v>
      </c>
      <c r="C39" s="258">
        <v>3</v>
      </c>
      <c r="D39" s="253" t="s">
        <v>136</v>
      </c>
      <c r="E39" s="225" t="s">
        <v>153</v>
      </c>
      <c r="F39" s="347" t="s">
        <v>53</v>
      </c>
      <c r="G39" s="347"/>
      <c r="H39" s="347" t="s">
        <v>167</v>
      </c>
      <c r="I39" s="347"/>
    </row>
    <row r="40" spans="1:9" x14ac:dyDescent="0.35">
      <c r="A40" s="109"/>
      <c r="B40" s="109" t="s">
        <v>28</v>
      </c>
      <c r="C40" s="110">
        <v>25</v>
      </c>
      <c r="D40" s="109"/>
      <c r="E40" s="109"/>
      <c r="F40" s="346"/>
      <c r="G40" s="346"/>
      <c r="H40" s="348"/>
      <c r="I40" s="349"/>
    </row>
    <row r="41" spans="1:9" x14ac:dyDescent="0.35">
      <c r="F41" s="344"/>
      <c r="G41" s="344"/>
      <c r="H41" s="344"/>
      <c r="I41" s="344"/>
    </row>
    <row r="42" spans="1:9" x14ac:dyDescent="0.35">
      <c r="A42" s="352" t="s">
        <v>168</v>
      </c>
      <c r="B42" s="353"/>
      <c r="C42" s="353"/>
      <c r="D42" s="353"/>
      <c r="E42" s="353"/>
      <c r="F42" s="353"/>
      <c r="G42" s="353"/>
      <c r="H42" s="353"/>
      <c r="I42" s="353"/>
    </row>
    <row r="43" spans="1:9" ht="15" thickBot="1" x14ac:dyDescent="0.4">
      <c r="A43" s="95" t="s">
        <v>13</v>
      </c>
      <c r="B43" s="95" t="s">
        <v>14</v>
      </c>
      <c r="C43" s="95" t="s">
        <v>137</v>
      </c>
      <c r="D43" s="95" t="s">
        <v>17</v>
      </c>
      <c r="E43" s="95" t="s">
        <v>18</v>
      </c>
      <c r="F43" s="339" t="s">
        <v>138</v>
      </c>
      <c r="G43" s="339"/>
      <c r="H43" s="339" t="s">
        <v>139</v>
      </c>
      <c r="I43" s="339"/>
    </row>
    <row r="44" spans="1:9" x14ac:dyDescent="0.35">
      <c r="A44" s="259" t="s">
        <v>332</v>
      </c>
      <c r="B44" s="262" t="s">
        <v>176</v>
      </c>
      <c r="C44" s="260">
        <v>3</v>
      </c>
      <c r="D44" s="241" t="s">
        <v>404</v>
      </c>
      <c r="E44" s="240" t="s">
        <v>27</v>
      </c>
      <c r="F44" s="345" t="s">
        <v>47</v>
      </c>
      <c r="G44" s="345"/>
      <c r="H44" s="345" t="s">
        <v>177</v>
      </c>
      <c r="I44" s="345"/>
    </row>
    <row r="45" spans="1:9" x14ac:dyDescent="0.35">
      <c r="A45" s="250" t="s">
        <v>333</v>
      </c>
      <c r="B45" s="254" t="s">
        <v>179</v>
      </c>
      <c r="C45" s="261">
        <v>4</v>
      </c>
      <c r="D45" s="241" t="s">
        <v>340</v>
      </c>
      <c r="E45" s="240" t="s">
        <v>299</v>
      </c>
      <c r="F45" s="345" t="s">
        <v>341</v>
      </c>
      <c r="G45" s="345"/>
      <c r="H45" s="345" t="s">
        <v>167</v>
      </c>
      <c r="I45" s="345"/>
    </row>
    <row r="46" spans="1:9" x14ac:dyDescent="0.35">
      <c r="A46" s="250" t="s">
        <v>334</v>
      </c>
      <c r="B46" s="254" t="s">
        <v>170</v>
      </c>
      <c r="C46" s="261">
        <v>3</v>
      </c>
      <c r="D46" s="241" t="s">
        <v>134</v>
      </c>
      <c r="E46" s="240" t="s">
        <v>27</v>
      </c>
      <c r="F46" s="345" t="s">
        <v>172</v>
      </c>
      <c r="G46" s="345"/>
      <c r="H46" s="345" t="s">
        <v>398</v>
      </c>
      <c r="I46" s="345"/>
    </row>
    <row r="47" spans="1:9" x14ac:dyDescent="0.35">
      <c r="A47" s="250" t="s">
        <v>335</v>
      </c>
      <c r="B47" s="254" t="s">
        <v>169</v>
      </c>
      <c r="C47" s="261">
        <v>4</v>
      </c>
      <c r="D47" s="241" t="s">
        <v>457</v>
      </c>
      <c r="E47" s="240" t="s">
        <v>455</v>
      </c>
      <c r="F47" s="345" t="s">
        <v>342</v>
      </c>
      <c r="G47" s="345"/>
      <c r="H47" s="345" t="s">
        <v>285</v>
      </c>
      <c r="I47" s="345"/>
    </row>
    <row r="48" spans="1:9" x14ac:dyDescent="0.35">
      <c r="A48" s="250" t="s">
        <v>336</v>
      </c>
      <c r="B48" s="254" t="s">
        <v>171</v>
      </c>
      <c r="C48" s="261">
        <v>3</v>
      </c>
      <c r="D48" s="241" t="s">
        <v>162</v>
      </c>
      <c r="E48" s="240" t="s">
        <v>27</v>
      </c>
      <c r="F48" s="345" t="s">
        <v>172</v>
      </c>
      <c r="G48" s="345"/>
      <c r="H48" s="345" t="s">
        <v>399</v>
      </c>
      <c r="I48" s="345"/>
    </row>
    <row r="49" spans="1:9" x14ac:dyDescent="0.35">
      <c r="A49" s="250" t="s">
        <v>337</v>
      </c>
      <c r="B49" s="254" t="s">
        <v>50</v>
      </c>
      <c r="C49" s="261">
        <v>3</v>
      </c>
      <c r="D49" s="241" t="s">
        <v>131</v>
      </c>
      <c r="E49" s="240" t="s">
        <v>45</v>
      </c>
      <c r="F49" s="345" t="s">
        <v>343</v>
      </c>
      <c r="G49" s="345"/>
      <c r="H49" s="345" t="s">
        <v>400</v>
      </c>
      <c r="I49" s="345"/>
    </row>
    <row r="50" spans="1:9" x14ac:dyDescent="0.35">
      <c r="A50" s="250" t="s">
        <v>173</v>
      </c>
      <c r="B50" s="254" t="s">
        <v>174</v>
      </c>
      <c r="C50" s="261">
        <v>3</v>
      </c>
      <c r="D50" s="241" t="s">
        <v>402</v>
      </c>
      <c r="E50" s="240" t="s">
        <v>27</v>
      </c>
      <c r="F50" s="345" t="s">
        <v>172</v>
      </c>
      <c r="G50" s="345"/>
      <c r="H50" s="345" t="s">
        <v>401</v>
      </c>
      <c r="I50" s="345"/>
    </row>
    <row r="51" spans="1:9" ht="15" thickBot="1" x14ac:dyDescent="0.4">
      <c r="A51" s="251" t="s">
        <v>338</v>
      </c>
      <c r="B51" s="263" t="s">
        <v>339</v>
      </c>
      <c r="C51" s="252">
        <v>2</v>
      </c>
      <c r="D51" s="241" t="s">
        <v>326</v>
      </c>
      <c r="E51" s="240" t="s">
        <v>29</v>
      </c>
      <c r="F51" s="345" t="s">
        <v>175</v>
      </c>
      <c r="G51" s="345"/>
      <c r="H51" s="345" t="s">
        <v>403</v>
      </c>
      <c r="I51" s="345"/>
    </row>
    <row r="52" spans="1:9" x14ac:dyDescent="0.35">
      <c r="A52" s="96" t="s">
        <v>155</v>
      </c>
      <c r="B52" s="97" t="s">
        <v>28</v>
      </c>
      <c r="C52" s="98">
        <v>25</v>
      </c>
      <c r="D52" s="99" t="s">
        <v>155</v>
      </c>
      <c r="E52" s="100" t="s">
        <v>155</v>
      </c>
      <c r="F52" s="343" t="s">
        <v>155</v>
      </c>
      <c r="G52" s="343"/>
      <c r="H52" s="343" t="s">
        <v>155</v>
      </c>
      <c r="I52" s="343"/>
    </row>
    <row r="53" spans="1:9" x14ac:dyDescent="0.35">
      <c r="F53" s="344"/>
      <c r="G53" s="344"/>
      <c r="H53" s="344"/>
      <c r="I53" s="344"/>
    </row>
    <row r="54" spans="1:9" x14ac:dyDescent="0.35">
      <c r="A54" s="361" t="s">
        <v>181</v>
      </c>
      <c r="B54" s="361" t="s">
        <v>155</v>
      </c>
      <c r="C54" s="361" t="s">
        <v>155</v>
      </c>
      <c r="D54" s="361" t="s">
        <v>155</v>
      </c>
      <c r="E54" s="361" t="s">
        <v>155</v>
      </c>
      <c r="F54" s="361" t="s">
        <v>155</v>
      </c>
      <c r="G54" s="361" t="s">
        <v>155</v>
      </c>
      <c r="H54" s="362"/>
      <c r="I54" s="362"/>
    </row>
    <row r="55" spans="1:9" ht="15" thickBot="1" x14ac:dyDescent="0.4">
      <c r="A55" s="95" t="s">
        <v>13</v>
      </c>
      <c r="B55" s="95" t="s">
        <v>14</v>
      </c>
      <c r="C55" s="95" t="s">
        <v>137</v>
      </c>
      <c r="D55" s="95" t="s">
        <v>17</v>
      </c>
      <c r="E55" s="95" t="s">
        <v>18</v>
      </c>
      <c r="F55" s="339" t="s">
        <v>138</v>
      </c>
      <c r="G55" s="339"/>
      <c r="H55" s="339" t="s">
        <v>139</v>
      </c>
      <c r="I55" s="339"/>
    </row>
    <row r="56" spans="1:9" x14ac:dyDescent="0.35">
      <c r="A56" s="259" t="s">
        <v>332</v>
      </c>
      <c r="B56" s="262" t="s">
        <v>176</v>
      </c>
      <c r="C56" s="260">
        <v>3</v>
      </c>
      <c r="D56" s="96" t="s">
        <v>404</v>
      </c>
      <c r="E56" s="99" t="s">
        <v>44</v>
      </c>
      <c r="F56" s="343" t="s">
        <v>63</v>
      </c>
      <c r="G56" s="343"/>
      <c r="H56" s="343" t="s">
        <v>177</v>
      </c>
      <c r="I56" s="343"/>
    </row>
    <row r="57" spans="1:9" x14ac:dyDescent="0.35">
      <c r="A57" s="250" t="s">
        <v>333</v>
      </c>
      <c r="B57" s="254" t="s">
        <v>179</v>
      </c>
      <c r="C57" s="261">
        <v>4</v>
      </c>
      <c r="D57" s="96" t="s">
        <v>344</v>
      </c>
      <c r="E57" s="99" t="s">
        <v>182</v>
      </c>
      <c r="F57" s="343" t="s">
        <v>345</v>
      </c>
      <c r="G57" s="343"/>
      <c r="H57" s="343" t="s">
        <v>183</v>
      </c>
      <c r="I57" s="343"/>
    </row>
    <row r="58" spans="1:9" x14ac:dyDescent="0.35">
      <c r="A58" s="250" t="s">
        <v>334</v>
      </c>
      <c r="B58" s="254" t="s">
        <v>170</v>
      </c>
      <c r="C58" s="261">
        <v>3</v>
      </c>
      <c r="D58" s="96" t="s">
        <v>408</v>
      </c>
      <c r="E58" s="99" t="s">
        <v>45</v>
      </c>
      <c r="F58" s="343" t="s">
        <v>346</v>
      </c>
      <c r="G58" s="343"/>
      <c r="H58" s="343" t="s">
        <v>407</v>
      </c>
      <c r="I58" s="343"/>
    </row>
    <row r="59" spans="1:9" x14ac:dyDescent="0.35">
      <c r="A59" s="250" t="s">
        <v>335</v>
      </c>
      <c r="B59" s="254" t="s">
        <v>169</v>
      </c>
      <c r="C59" s="261">
        <v>4</v>
      </c>
      <c r="D59" s="96" t="s">
        <v>440</v>
      </c>
      <c r="E59" s="99" t="s">
        <v>347</v>
      </c>
      <c r="F59" s="343" t="s">
        <v>348</v>
      </c>
      <c r="G59" s="343"/>
      <c r="H59" s="343" t="s">
        <v>294</v>
      </c>
      <c r="I59" s="343"/>
    </row>
    <row r="60" spans="1:9" x14ac:dyDescent="0.35">
      <c r="A60" s="250" t="s">
        <v>336</v>
      </c>
      <c r="B60" s="254" t="s">
        <v>171</v>
      </c>
      <c r="C60" s="261">
        <v>3</v>
      </c>
      <c r="D60" s="96" t="s">
        <v>134</v>
      </c>
      <c r="E60" s="99" t="s">
        <v>27</v>
      </c>
      <c r="F60" s="343" t="s">
        <v>328</v>
      </c>
      <c r="G60" s="343"/>
      <c r="H60" s="343" t="s">
        <v>399</v>
      </c>
      <c r="I60" s="343"/>
    </row>
    <row r="61" spans="1:9" x14ac:dyDescent="0.35">
      <c r="A61" s="250" t="s">
        <v>337</v>
      </c>
      <c r="B61" s="254" t="s">
        <v>50</v>
      </c>
      <c r="C61" s="261">
        <v>3</v>
      </c>
      <c r="D61" s="96" t="s">
        <v>132</v>
      </c>
      <c r="E61" s="99" t="s">
        <v>45</v>
      </c>
      <c r="F61" s="343" t="s">
        <v>343</v>
      </c>
      <c r="G61" s="343"/>
      <c r="H61" s="343" t="s">
        <v>406</v>
      </c>
      <c r="I61" s="343"/>
    </row>
    <row r="62" spans="1:9" x14ac:dyDescent="0.35">
      <c r="A62" s="250" t="s">
        <v>173</v>
      </c>
      <c r="B62" s="254" t="s">
        <v>174</v>
      </c>
      <c r="C62" s="261">
        <v>3</v>
      </c>
      <c r="D62" s="96" t="s">
        <v>402</v>
      </c>
      <c r="E62" s="99" t="s">
        <v>27</v>
      </c>
      <c r="F62" s="343" t="s">
        <v>346</v>
      </c>
      <c r="G62" s="343"/>
      <c r="H62" s="343" t="s">
        <v>405</v>
      </c>
      <c r="I62" s="343"/>
    </row>
    <row r="63" spans="1:9" ht="15" thickBot="1" x14ac:dyDescent="0.4">
      <c r="A63" s="251" t="s">
        <v>338</v>
      </c>
      <c r="B63" s="263" t="s">
        <v>339</v>
      </c>
      <c r="C63" s="252">
        <v>2</v>
      </c>
      <c r="D63" s="96" t="s">
        <v>326</v>
      </c>
      <c r="E63" s="99" t="s">
        <v>32</v>
      </c>
      <c r="F63" s="343" t="s">
        <v>409</v>
      </c>
      <c r="G63" s="343"/>
      <c r="H63" s="343" t="s">
        <v>403</v>
      </c>
      <c r="I63" s="343"/>
    </row>
    <row r="64" spans="1:9" x14ac:dyDescent="0.35">
      <c r="A64" s="100" t="s">
        <v>155</v>
      </c>
      <c r="B64" s="103" t="s">
        <v>28</v>
      </c>
      <c r="C64" s="104">
        <v>25</v>
      </c>
      <c r="D64" s="100" t="s">
        <v>155</v>
      </c>
      <c r="E64" s="100" t="s">
        <v>155</v>
      </c>
      <c r="F64" s="343" t="s">
        <v>155</v>
      </c>
      <c r="G64" s="343"/>
      <c r="H64" s="343" t="s">
        <v>155</v>
      </c>
      <c r="I64" s="343"/>
    </row>
    <row r="66" spans="1:9" x14ac:dyDescent="0.35">
      <c r="A66" s="352" t="s">
        <v>365</v>
      </c>
      <c r="B66" s="353"/>
      <c r="C66" s="353"/>
      <c r="D66" s="353"/>
      <c r="E66" s="353"/>
      <c r="F66" s="353"/>
      <c r="G66" s="353"/>
      <c r="H66" s="353"/>
      <c r="I66" s="353"/>
    </row>
    <row r="67" spans="1:9" ht="15" thickBot="1" x14ac:dyDescent="0.4">
      <c r="A67" s="95" t="s">
        <v>13</v>
      </c>
      <c r="B67" s="95" t="s">
        <v>14</v>
      </c>
      <c r="C67" s="95" t="s">
        <v>137</v>
      </c>
      <c r="D67" s="95" t="s">
        <v>17</v>
      </c>
      <c r="E67" s="95" t="s">
        <v>18</v>
      </c>
      <c r="F67" s="339" t="s">
        <v>138</v>
      </c>
      <c r="G67" s="339"/>
      <c r="H67" s="339" t="s">
        <v>139</v>
      </c>
      <c r="I67" s="339"/>
    </row>
    <row r="68" spans="1:9" x14ac:dyDescent="0.35">
      <c r="A68" s="259" t="s">
        <v>332</v>
      </c>
      <c r="B68" s="262" t="s">
        <v>176</v>
      </c>
      <c r="C68" s="260">
        <v>3</v>
      </c>
      <c r="D68" s="96" t="s">
        <v>132</v>
      </c>
      <c r="E68" s="99" t="s">
        <v>143</v>
      </c>
      <c r="F68" s="343" t="s">
        <v>349</v>
      </c>
      <c r="G68" s="343"/>
      <c r="H68" s="343" t="s">
        <v>177</v>
      </c>
      <c r="I68" s="343"/>
    </row>
    <row r="69" spans="1:9" x14ac:dyDescent="0.35">
      <c r="A69" s="250" t="s">
        <v>333</v>
      </c>
      <c r="B69" s="254" t="s">
        <v>179</v>
      </c>
      <c r="C69" s="261">
        <v>4</v>
      </c>
      <c r="D69" s="96" t="s">
        <v>439</v>
      </c>
      <c r="E69" s="99" t="s">
        <v>330</v>
      </c>
      <c r="F69" s="343" t="s">
        <v>184</v>
      </c>
      <c r="G69" s="343"/>
      <c r="H69" s="343" t="s">
        <v>185</v>
      </c>
      <c r="I69" s="343"/>
    </row>
    <row r="70" spans="1:9" x14ac:dyDescent="0.35">
      <c r="A70" s="250" t="s">
        <v>334</v>
      </c>
      <c r="B70" s="254" t="s">
        <v>170</v>
      </c>
      <c r="C70" s="261">
        <v>3</v>
      </c>
      <c r="D70" s="96" t="s">
        <v>394</v>
      </c>
      <c r="E70" s="99" t="s">
        <v>143</v>
      </c>
      <c r="F70" s="343" t="s">
        <v>350</v>
      </c>
      <c r="G70" s="343"/>
      <c r="H70" s="343" t="s">
        <v>410</v>
      </c>
      <c r="I70" s="343"/>
    </row>
    <row r="71" spans="1:9" x14ac:dyDescent="0.35">
      <c r="A71" s="250" t="s">
        <v>335</v>
      </c>
      <c r="B71" s="254" t="s">
        <v>169</v>
      </c>
      <c r="C71" s="261">
        <v>4</v>
      </c>
      <c r="D71" s="96" t="s">
        <v>351</v>
      </c>
      <c r="E71" s="99" t="s">
        <v>180</v>
      </c>
      <c r="F71" s="343" t="s">
        <v>352</v>
      </c>
      <c r="G71" s="343"/>
      <c r="H71" s="343" t="s">
        <v>296</v>
      </c>
      <c r="I71" s="343"/>
    </row>
    <row r="72" spans="1:9" x14ac:dyDescent="0.35">
      <c r="A72" s="250" t="s">
        <v>336</v>
      </c>
      <c r="B72" s="254" t="s">
        <v>171</v>
      </c>
      <c r="C72" s="261">
        <v>3</v>
      </c>
      <c r="D72" s="96" t="s">
        <v>402</v>
      </c>
      <c r="E72" s="99" t="s">
        <v>44</v>
      </c>
      <c r="F72" s="343" t="s">
        <v>150</v>
      </c>
      <c r="G72" s="343"/>
      <c r="H72" s="343" t="s">
        <v>399</v>
      </c>
      <c r="I72" s="343"/>
    </row>
    <row r="73" spans="1:9" x14ac:dyDescent="0.35">
      <c r="A73" s="250" t="s">
        <v>337</v>
      </c>
      <c r="B73" s="254" t="s">
        <v>50</v>
      </c>
      <c r="C73" s="261">
        <v>3</v>
      </c>
      <c r="D73" s="96" t="s">
        <v>353</v>
      </c>
      <c r="E73" s="99" t="s">
        <v>299</v>
      </c>
      <c r="F73" s="343" t="s">
        <v>346</v>
      </c>
      <c r="G73" s="343"/>
      <c r="H73" s="343" t="s">
        <v>411</v>
      </c>
      <c r="I73" s="343"/>
    </row>
    <row r="74" spans="1:9" x14ac:dyDescent="0.35">
      <c r="A74" s="250" t="s">
        <v>173</v>
      </c>
      <c r="B74" s="254" t="s">
        <v>174</v>
      </c>
      <c r="C74" s="261">
        <v>3</v>
      </c>
      <c r="D74" s="96" t="s">
        <v>134</v>
      </c>
      <c r="E74" s="99" t="s">
        <v>27</v>
      </c>
      <c r="F74" s="343" t="s">
        <v>150</v>
      </c>
      <c r="G74" s="343"/>
      <c r="H74" s="343" t="s">
        <v>412</v>
      </c>
      <c r="I74" s="343"/>
    </row>
    <row r="75" spans="1:9" ht="15" thickBot="1" x14ac:dyDescent="0.4">
      <c r="A75" s="251" t="s">
        <v>338</v>
      </c>
      <c r="B75" s="263" t="s">
        <v>339</v>
      </c>
      <c r="C75" s="252">
        <v>2</v>
      </c>
      <c r="D75" s="96" t="s">
        <v>415</v>
      </c>
      <c r="E75" s="99" t="s">
        <v>29</v>
      </c>
      <c r="F75" s="343" t="s">
        <v>414</v>
      </c>
      <c r="G75" s="343"/>
      <c r="H75" s="343" t="s">
        <v>413</v>
      </c>
      <c r="I75" s="343"/>
    </row>
    <row r="76" spans="1:9" x14ac:dyDescent="0.35">
      <c r="A76" s="96" t="s">
        <v>155</v>
      </c>
      <c r="B76" s="97" t="s">
        <v>28</v>
      </c>
      <c r="C76" s="98">
        <f>SUM(C68:C75)</f>
        <v>25</v>
      </c>
      <c r="D76" s="96" t="s">
        <v>155</v>
      </c>
      <c r="E76" s="99" t="s">
        <v>155</v>
      </c>
      <c r="F76" s="343" t="s">
        <v>155</v>
      </c>
      <c r="G76" s="343"/>
      <c r="H76" s="362"/>
      <c r="I76" s="362"/>
    </row>
    <row r="78" spans="1:9" x14ac:dyDescent="0.35">
      <c r="A78" s="352" t="s">
        <v>186</v>
      </c>
      <c r="B78" s="353"/>
      <c r="C78" s="353"/>
      <c r="D78" s="353"/>
      <c r="E78" s="353"/>
      <c r="F78" s="353"/>
      <c r="G78" s="353"/>
      <c r="H78" s="353"/>
      <c r="I78" s="353"/>
    </row>
    <row r="79" spans="1:9" ht="15" thickBot="1" x14ac:dyDescent="0.4">
      <c r="A79" s="95" t="s">
        <v>13</v>
      </c>
      <c r="B79" s="95" t="s">
        <v>14</v>
      </c>
      <c r="C79" s="95" t="s">
        <v>137</v>
      </c>
      <c r="D79" s="95" t="s">
        <v>17</v>
      </c>
      <c r="E79" s="95" t="s">
        <v>18</v>
      </c>
      <c r="F79" s="339" t="s">
        <v>138</v>
      </c>
      <c r="G79" s="339"/>
      <c r="H79" s="339" t="s">
        <v>139</v>
      </c>
      <c r="I79" s="339"/>
    </row>
    <row r="80" spans="1:9" x14ac:dyDescent="0.35">
      <c r="A80" s="264" t="s">
        <v>193</v>
      </c>
      <c r="B80" s="265" t="s">
        <v>194</v>
      </c>
      <c r="C80" s="265">
        <v>3</v>
      </c>
      <c r="D80" s="96" t="s">
        <v>162</v>
      </c>
      <c r="E80" s="99" t="s">
        <v>317</v>
      </c>
      <c r="F80" s="343" t="s">
        <v>66</v>
      </c>
      <c r="G80" s="343"/>
      <c r="H80" s="373" t="s">
        <v>195</v>
      </c>
      <c r="I80" s="374"/>
    </row>
    <row r="81" spans="1:9" x14ac:dyDescent="0.35">
      <c r="A81" s="266" t="s">
        <v>187</v>
      </c>
      <c r="B81" s="267" t="s">
        <v>354</v>
      </c>
      <c r="C81" s="267">
        <v>4</v>
      </c>
      <c r="D81" s="96" t="s">
        <v>356</v>
      </c>
      <c r="E81" s="99" t="s">
        <v>357</v>
      </c>
      <c r="F81" s="343" t="s">
        <v>441</v>
      </c>
      <c r="G81" s="343"/>
      <c r="H81" s="375" t="s">
        <v>154</v>
      </c>
      <c r="I81" s="376"/>
    </row>
    <row r="82" spans="1:9" x14ac:dyDescent="0.35">
      <c r="A82" s="266" t="s">
        <v>196</v>
      </c>
      <c r="B82" s="267" t="s">
        <v>197</v>
      </c>
      <c r="C82" s="267">
        <v>4</v>
      </c>
      <c r="D82" s="96" t="s">
        <v>443</v>
      </c>
      <c r="E82" s="99" t="s">
        <v>444</v>
      </c>
      <c r="F82" s="343" t="s">
        <v>358</v>
      </c>
      <c r="G82" s="343"/>
      <c r="H82" s="375" t="s">
        <v>198</v>
      </c>
      <c r="I82" s="376"/>
    </row>
    <row r="83" spans="1:9" x14ac:dyDescent="0.35">
      <c r="A83" s="266" t="s">
        <v>200</v>
      </c>
      <c r="B83" s="267" t="s">
        <v>201</v>
      </c>
      <c r="C83" s="267">
        <v>1</v>
      </c>
      <c r="D83" s="96" t="s">
        <v>445</v>
      </c>
      <c r="E83" s="99" t="s">
        <v>36</v>
      </c>
      <c r="F83" s="343" t="s">
        <v>76</v>
      </c>
      <c r="G83" s="343"/>
      <c r="H83" s="375" t="s">
        <v>159</v>
      </c>
      <c r="I83" s="376"/>
    </row>
    <row r="84" spans="1:9" x14ac:dyDescent="0.35">
      <c r="A84" s="266" t="s">
        <v>199</v>
      </c>
      <c r="B84" s="267" t="s">
        <v>129</v>
      </c>
      <c r="C84" s="267">
        <v>2</v>
      </c>
      <c r="D84" s="96" t="s">
        <v>448</v>
      </c>
      <c r="E84" s="99" t="s">
        <v>29</v>
      </c>
      <c r="F84" s="343" t="s">
        <v>63</v>
      </c>
      <c r="G84" s="343"/>
      <c r="H84" s="375" t="s">
        <v>167</v>
      </c>
      <c r="I84" s="376"/>
    </row>
    <row r="85" spans="1:9" x14ac:dyDescent="0.35">
      <c r="A85" s="266" t="s">
        <v>189</v>
      </c>
      <c r="B85" s="267" t="s">
        <v>190</v>
      </c>
      <c r="C85" s="267">
        <v>2</v>
      </c>
      <c r="D85" s="96" t="s">
        <v>447</v>
      </c>
      <c r="E85" s="99" t="s">
        <v>43</v>
      </c>
      <c r="F85" s="343" t="s">
        <v>65</v>
      </c>
      <c r="G85" s="343"/>
      <c r="H85" s="375" t="s">
        <v>144</v>
      </c>
      <c r="I85" s="376"/>
    </row>
    <row r="86" spans="1:9" x14ac:dyDescent="0.35">
      <c r="A86" s="266" t="s">
        <v>202</v>
      </c>
      <c r="B86" s="267" t="s">
        <v>203</v>
      </c>
      <c r="C86" s="267">
        <v>1</v>
      </c>
      <c r="D86" s="96" t="s">
        <v>445</v>
      </c>
      <c r="E86" s="99" t="s">
        <v>34</v>
      </c>
      <c r="F86" s="343" t="s">
        <v>76</v>
      </c>
      <c r="G86" s="343"/>
      <c r="H86" s="375" t="s">
        <v>204</v>
      </c>
      <c r="I86" s="376"/>
    </row>
    <row r="87" spans="1:9" x14ac:dyDescent="0.35">
      <c r="A87" s="266" t="s">
        <v>191</v>
      </c>
      <c r="B87" s="268" t="s">
        <v>192</v>
      </c>
      <c r="C87" s="267">
        <v>3</v>
      </c>
      <c r="D87" s="96" t="s">
        <v>446</v>
      </c>
      <c r="E87" s="99" t="s">
        <v>44</v>
      </c>
      <c r="F87" s="343" t="s">
        <v>346</v>
      </c>
      <c r="G87" s="343"/>
      <c r="H87" s="375" t="s">
        <v>416</v>
      </c>
      <c r="I87" s="376"/>
    </row>
    <row r="88" spans="1:9" ht="15" thickBot="1" x14ac:dyDescent="0.4">
      <c r="A88" s="269" t="s">
        <v>355</v>
      </c>
      <c r="B88" s="270" t="s">
        <v>206</v>
      </c>
      <c r="C88" s="271">
        <v>3</v>
      </c>
      <c r="D88" s="96" t="s">
        <v>445</v>
      </c>
      <c r="E88" s="99" t="s">
        <v>34</v>
      </c>
      <c r="F88" s="343" t="s">
        <v>55</v>
      </c>
      <c r="G88" s="343"/>
      <c r="H88" s="377" t="s">
        <v>167</v>
      </c>
      <c r="I88" s="378"/>
    </row>
    <row r="89" spans="1:9" x14ac:dyDescent="0.35">
      <c r="A89" s="96" t="s">
        <v>155</v>
      </c>
      <c r="B89" s="97" t="s">
        <v>28</v>
      </c>
      <c r="C89" s="98">
        <f>SUM(C80:C88)</f>
        <v>23</v>
      </c>
      <c r="D89" s="96" t="s">
        <v>155</v>
      </c>
      <c r="E89" s="99" t="s">
        <v>155</v>
      </c>
      <c r="F89" s="343" t="s">
        <v>155</v>
      </c>
      <c r="G89" s="343"/>
      <c r="H89" s="362"/>
      <c r="I89" s="362"/>
    </row>
    <row r="91" spans="1:9" x14ac:dyDescent="0.35">
      <c r="A91" s="352" t="s">
        <v>207</v>
      </c>
      <c r="B91" s="353"/>
      <c r="C91" s="353"/>
      <c r="D91" s="353"/>
      <c r="E91" s="353"/>
      <c r="F91" s="353"/>
      <c r="G91" s="353"/>
      <c r="H91" s="353"/>
      <c r="I91" s="353"/>
    </row>
    <row r="92" spans="1:9" ht="15" thickBot="1" x14ac:dyDescent="0.4">
      <c r="A92" s="95" t="s">
        <v>13</v>
      </c>
      <c r="B92" s="95" t="s">
        <v>14</v>
      </c>
      <c r="C92" s="95" t="s">
        <v>137</v>
      </c>
      <c r="D92" s="95" t="s">
        <v>17</v>
      </c>
      <c r="E92" s="95" t="s">
        <v>18</v>
      </c>
      <c r="F92" s="339" t="s">
        <v>138</v>
      </c>
      <c r="G92" s="339"/>
      <c r="H92" s="339" t="s">
        <v>139</v>
      </c>
      <c r="I92" s="339"/>
    </row>
    <row r="93" spans="1:9" x14ac:dyDescent="0.35">
      <c r="A93" s="264" t="s">
        <v>193</v>
      </c>
      <c r="B93" s="265" t="s">
        <v>194</v>
      </c>
      <c r="C93" s="265">
        <v>3</v>
      </c>
      <c r="D93" s="96" t="s">
        <v>449</v>
      </c>
      <c r="E93" s="99" t="s">
        <v>43</v>
      </c>
      <c r="F93" s="343" t="s">
        <v>359</v>
      </c>
      <c r="G93" s="343"/>
      <c r="H93" s="343" t="s">
        <v>195</v>
      </c>
      <c r="I93" s="343"/>
    </row>
    <row r="94" spans="1:9" x14ac:dyDescent="0.35">
      <c r="A94" s="266" t="s">
        <v>187</v>
      </c>
      <c r="B94" s="267" t="s">
        <v>354</v>
      </c>
      <c r="C94" s="267">
        <v>4</v>
      </c>
      <c r="D94" s="96" t="s">
        <v>450</v>
      </c>
      <c r="E94" s="99" t="s">
        <v>442</v>
      </c>
      <c r="F94" s="343" t="s">
        <v>360</v>
      </c>
      <c r="G94" s="343"/>
      <c r="H94" s="343" t="s">
        <v>210</v>
      </c>
      <c r="I94" s="343"/>
    </row>
    <row r="95" spans="1:9" x14ac:dyDescent="0.35">
      <c r="A95" s="266" t="s">
        <v>196</v>
      </c>
      <c r="B95" s="267" t="s">
        <v>197</v>
      </c>
      <c r="C95" s="267">
        <v>4</v>
      </c>
      <c r="D95" s="96" t="s">
        <v>451</v>
      </c>
      <c r="E95" s="99" t="s">
        <v>361</v>
      </c>
      <c r="F95" s="343" t="s">
        <v>362</v>
      </c>
      <c r="G95" s="343"/>
      <c r="H95" s="343" t="s">
        <v>208</v>
      </c>
      <c r="I95" s="343"/>
    </row>
    <row r="96" spans="1:9" x14ac:dyDescent="0.35">
      <c r="A96" s="266" t="s">
        <v>200</v>
      </c>
      <c r="B96" s="267" t="s">
        <v>201</v>
      </c>
      <c r="C96" s="267">
        <v>1</v>
      </c>
      <c r="D96" s="96" t="s">
        <v>445</v>
      </c>
      <c r="E96" s="99" t="s">
        <v>34</v>
      </c>
      <c r="F96" s="343" t="s">
        <v>76</v>
      </c>
      <c r="G96" s="343"/>
      <c r="H96" s="343" t="s">
        <v>159</v>
      </c>
      <c r="I96" s="343"/>
    </row>
    <row r="97" spans="1:9" x14ac:dyDescent="0.35">
      <c r="A97" s="266" t="s">
        <v>199</v>
      </c>
      <c r="B97" s="267" t="s">
        <v>129</v>
      </c>
      <c r="C97" s="267">
        <v>2</v>
      </c>
      <c r="D97" s="96" t="s">
        <v>448</v>
      </c>
      <c r="E97" s="99" t="s">
        <v>29</v>
      </c>
      <c r="F97" s="343" t="s">
        <v>47</v>
      </c>
      <c r="G97" s="343"/>
      <c r="H97" s="343" t="s">
        <v>185</v>
      </c>
      <c r="I97" s="343"/>
    </row>
    <row r="98" spans="1:9" x14ac:dyDescent="0.35">
      <c r="A98" s="266" t="s">
        <v>189</v>
      </c>
      <c r="B98" s="267" t="s">
        <v>190</v>
      </c>
      <c r="C98" s="267">
        <v>2</v>
      </c>
      <c r="D98" s="96" t="s">
        <v>453</v>
      </c>
      <c r="E98" s="99" t="s">
        <v>38</v>
      </c>
      <c r="F98" s="343" t="s">
        <v>66</v>
      </c>
      <c r="G98" s="343"/>
      <c r="H98" s="343" t="s">
        <v>144</v>
      </c>
      <c r="I98" s="343"/>
    </row>
    <row r="99" spans="1:9" x14ac:dyDescent="0.35">
      <c r="A99" s="266" t="s">
        <v>202</v>
      </c>
      <c r="B99" s="267" t="s">
        <v>203</v>
      </c>
      <c r="C99" s="267">
        <v>1</v>
      </c>
      <c r="D99" s="96" t="s">
        <v>157</v>
      </c>
      <c r="E99" s="99" t="s">
        <v>36</v>
      </c>
      <c r="F99" s="343" t="s">
        <v>55</v>
      </c>
      <c r="G99" s="343"/>
      <c r="H99" s="343" t="s">
        <v>204</v>
      </c>
      <c r="I99" s="343"/>
    </row>
    <row r="100" spans="1:9" x14ac:dyDescent="0.35">
      <c r="A100" s="266" t="s">
        <v>191</v>
      </c>
      <c r="B100" s="268" t="s">
        <v>192</v>
      </c>
      <c r="C100" s="267">
        <v>3</v>
      </c>
      <c r="D100" s="96" t="s">
        <v>162</v>
      </c>
      <c r="E100" s="99" t="s">
        <v>44</v>
      </c>
      <c r="F100" s="343" t="s">
        <v>346</v>
      </c>
      <c r="G100" s="343"/>
      <c r="H100" s="343" t="s">
        <v>417</v>
      </c>
      <c r="I100" s="343"/>
    </row>
    <row r="101" spans="1:9" ht="15" thickBot="1" x14ac:dyDescent="0.4">
      <c r="A101" s="269" t="s">
        <v>355</v>
      </c>
      <c r="B101" s="270" t="s">
        <v>206</v>
      </c>
      <c r="C101" s="271">
        <v>3</v>
      </c>
      <c r="D101" s="96" t="s">
        <v>452</v>
      </c>
      <c r="E101" s="99" t="s">
        <v>34</v>
      </c>
      <c r="F101" s="343" t="s">
        <v>55</v>
      </c>
      <c r="G101" s="343"/>
      <c r="H101" s="343" t="s">
        <v>167</v>
      </c>
      <c r="I101" s="343"/>
    </row>
    <row r="102" spans="1:9" x14ac:dyDescent="0.35">
      <c r="A102" s="100" t="s">
        <v>155</v>
      </c>
      <c r="B102" s="103" t="s">
        <v>28</v>
      </c>
      <c r="C102" s="104">
        <f>SUM(C93:C101)</f>
        <v>23</v>
      </c>
      <c r="D102" s="100" t="s">
        <v>155</v>
      </c>
      <c r="E102" s="100" t="s">
        <v>155</v>
      </c>
      <c r="F102" s="372" t="s">
        <v>155</v>
      </c>
      <c r="G102" s="351"/>
      <c r="H102" s="372" t="s">
        <v>155</v>
      </c>
      <c r="I102" s="351"/>
    </row>
    <row r="104" spans="1:9" x14ac:dyDescent="0.35">
      <c r="A104" s="369" t="s">
        <v>211</v>
      </c>
      <c r="B104" s="370"/>
      <c r="C104" s="370"/>
      <c r="D104" s="370"/>
      <c r="E104" s="370"/>
      <c r="F104" s="370"/>
      <c r="G104" s="370"/>
      <c r="H104" s="370"/>
      <c r="I104" s="371"/>
    </row>
    <row r="105" spans="1:9" ht="15" thickBot="1" x14ac:dyDescent="0.4">
      <c r="A105" s="95" t="s">
        <v>13</v>
      </c>
      <c r="B105" s="95" t="s">
        <v>14</v>
      </c>
      <c r="C105" s="95" t="s">
        <v>137</v>
      </c>
      <c r="D105" s="95" t="s">
        <v>17</v>
      </c>
      <c r="E105" s="95" t="s">
        <v>18</v>
      </c>
      <c r="F105" s="339" t="s">
        <v>138</v>
      </c>
      <c r="G105" s="339"/>
      <c r="H105" s="339" t="s">
        <v>139</v>
      </c>
      <c r="I105" s="339"/>
    </row>
    <row r="106" spans="1:9" x14ac:dyDescent="0.35">
      <c r="A106" s="272" t="s">
        <v>212</v>
      </c>
      <c r="B106" s="275" t="s">
        <v>49</v>
      </c>
      <c r="C106" s="265">
        <v>2</v>
      </c>
      <c r="D106" s="96" t="s">
        <v>147</v>
      </c>
      <c r="E106" s="99" t="s">
        <v>36</v>
      </c>
      <c r="F106" s="343" t="s">
        <v>67</v>
      </c>
      <c r="G106" s="343"/>
      <c r="H106" s="343" t="s">
        <v>243</v>
      </c>
      <c r="I106" s="343"/>
    </row>
    <row r="107" spans="1:9" x14ac:dyDescent="0.35">
      <c r="A107" s="273" t="s">
        <v>213</v>
      </c>
      <c r="B107" s="276" t="s">
        <v>214</v>
      </c>
      <c r="C107" s="267">
        <v>1</v>
      </c>
      <c r="D107" s="96" t="s">
        <v>157</v>
      </c>
      <c r="E107" s="99" t="s">
        <v>34</v>
      </c>
      <c r="F107" s="343" t="s">
        <v>53</v>
      </c>
      <c r="G107" s="343"/>
      <c r="H107" s="343" t="s">
        <v>154</v>
      </c>
      <c r="I107" s="343"/>
    </row>
    <row r="108" spans="1:9" x14ac:dyDescent="0.35">
      <c r="A108" s="273" t="s">
        <v>215</v>
      </c>
      <c r="B108" s="276" t="s">
        <v>216</v>
      </c>
      <c r="C108" s="267">
        <v>3</v>
      </c>
      <c r="D108" s="96" t="s">
        <v>136</v>
      </c>
      <c r="E108" s="99" t="s">
        <v>37</v>
      </c>
      <c r="F108" s="343" t="s">
        <v>76</v>
      </c>
      <c r="G108" s="343"/>
      <c r="H108" s="343" t="s">
        <v>198</v>
      </c>
      <c r="I108" s="343"/>
    </row>
    <row r="109" spans="1:9" x14ac:dyDescent="0.35">
      <c r="A109" s="273" t="s">
        <v>33</v>
      </c>
      <c r="B109" s="276" t="s">
        <v>363</v>
      </c>
      <c r="C109" s="267">
        <v>1</v>
      </c>
      <c r="D109" s="96" t="s">
        <v>366</v>
      </c>
      <c r="E109" s="99" t="s">
        <v>29</v>
      </c>
      <c r="F109" s="343" t="s">
        <v>67</v>
      </c>
      <c r="G109" s="343"/>
      <c r="H109" s="343" t="s">
        <v>185</v>
      </c>
      <c r="I109" s="343"/>
    </row>
    <row r="110" spans="1:9" x14ac:dyDescent="0.35">
      <c r="A110" s="274" t="s">
        <v>217</v>
      </c>
      <c r="B110" s="274" t="s">
        <v>218</v>
      </c>
      <c r="C110" s="102">
        <v>3</v>
      </c>
      <c r="D110" s="96" t="s">
        <v>394</v>
      </c>
      <c r="E110" s="99" t="s">
        <v>143</v>
      </c>
      <c r="F110" s="343" t="s">
        <v>343</v>
      </c>
      <c r="G110" s="343"/>
      <c r="H110" s="343" t="s">
        <v>418</v>
      </c>
      <c r="I110" s="343"/>
    </row>
    <row r="111" spans="1:9" x14ac:dyDescent="0.35">
      <c r="A111" s="273" t="s">
        <v>128</v>
      </c>
      <c r="B111" s="276" t="s">
        <v>130</v>
      </c>
      <c r="C111" s="267">
        <v>3</v>
      </c>
      <c r="D111" s="96" t="s">
        <v>163</v>
      </c>
      <c r="E111" s="99" t="s">
        <v>143</v>
      </c>
      <c r="F111" s="343" t="s">
        <v>219</v>
      </c>
      <c r="G111" s="343"/>
      <c r="H111" s="343" t="s">
        <v>195</v>
      </c>
      <c r="I111" s="343"/>
    </row>
    <row r="112" spans="1:9" x14ac:dyDescent="0.35">
      <c r="A112" s="100" t="s">
        <v>155</v>
      </c>
      <c r="B112" s="103" t="s">
        <v>28</v>
      </c>
      <c r="C112" s="104">
        <f>SUM(C106:C111)</f>
        <v>13</v>
      </c>
      <c r="D112" s="100"/>
      <c r="E112" s="100"/>
      <c r="F112" s="372"/>
      <c r="G112" s="351"/>
      <c r="H112" s="372"/>
      <c r="I112" s="351"/>
    </row>
    <row r="114" spans="1:9" x14ac:dyDescent="0.35">
      <c r="A114" s="369" t="s">
        <v>364</v>
      </c>
      <c r="B114" s="370"/>
      <c r="C114" s="370"/>
      <c r="D114" s="370"/>
      <c r="E114" s="370"/>
      <c r="F114" s="370"/>
      <c r="G114" s="370"/>
      <c r="H114" s="370"/>
      <c r="I114" s="371"/>
    </row>
    <row r="115" spans="1:9" ht="15" thickBot="1" x14ac:dyDescent="0.4">
      <c r="A115" s="95" t="s">
        <v>13</v>
      </c>
      <c r="B115" s="95" t="s">
        <v>14</v>
      </c>
      <c r="C115" s="95" t="s">
        <v>137</v>
      </c>
      <c r="D115" s="95" t="s">
        <v>17</v>
      </c>
      <c r="E115" s="95" t="s">
        <v>18</v>
      </c>
      <c r="F115" s="339" t="s">
        <v>138</v>
      </c>
      <c r="G115" s="339"/>
      <c r="H115" s="339" t="s">
        <v>139</v>
      </c>
      <c r="I115" s="339"/>
    </row>
    <row r="116" spans="1:9" x14ac:dyDescent="0.35">
      <c r="A116" s="272" t="s">
        <v>212</v>
      </c>
      <c r="B116" s="275" t="s">
        <v>49</v>
      </c>
      <c r="C116" s="265">
        <v>2</v>
      </c>
      <c r="D116" s="96" t="s">
        <v>136</v>
      </c>
      <c r="E116" s="224" t="s">
        <v>36</v>
      </c>
      <c r="F116" s="343" t="s">
        <v>67</v>
      </c>
      <c r="G116" s="343"/>
      <c r="H116" s="343" t="s">
        <v>243</v>
      </c>
      <c r="I116" s="343"/>
    </row>
    <row r="117" spans="1:9" x14ac:dyDescent="0.35">
      <c r="A117" s="273" t="s">
        <v>213</v>
      </c>
      <c r="B117" s="276" t="s">
        <v>214</v>
      </c>
      <c r="C117" s="267">
        <v>1</v>
      </c>
      <c r="D117" s="241" t="s">
        <v>136</v>
      </c>
      <c r="E117" s="240" t="s">
        <v>34</v>
      </c>
      <c r="F117" s="345" t="s">
        <v>67</v>
      </c>
      <c r="G117" s="345"/>
      <c r="H117" s="345" t="s">
        <v>208</v>
      </c>
      <c r="I117" s="345"/>
    </row>
    <row r="118" spans="1:9" x14ac:dyDescent="0.35">
      <c r="A118" s="273" t="s">
        <v>215</v>
      </c>
      <c r="B118" s="276" t="s">
        <v>216</v>
      </c>
      <c r="C118" s="267">
        <v>3</v>
      </c>
      <c r="D118" s="241" t="s">
        <v>156</v>
      </c>
      <c r="E118" s="240" t="s">
        <v>42</v>
      </c>
      <c r="F118" s="345" t="s">
        <v>65</v>
      </c>
      <c r="G118" s="345"/>
      <c r="H118" s="345" t="s">
        <v>198</v>
      </c>
      <c r="I118" s="345"/>
    </row>
    <row r="119" spans="1:9" x14ac:dyDescent="0.35">
      <c r="A119" s="273" t="s">
        <v>33</v>
      </c>
      <c r="B119" s="276" t="s">
        <v>363</v>
      </c>
      <c r="C119" s="267">
        <v>1</v>
      </c>
      <c r="D119" s="241" t="s">
        <v>284</v>
      </c>
      <c r="E119" s="240" t="s">
        <v>37</v>
      </c>
      <c r="F119" s="345" t="s">
        <v>67</v>
      </c>
      <c r="G119" s="345"/>
      <c r="H119" s="345" t="s">
        <v>185</v>
      </c>
      <c r="I119" s="345"/>
    </row>
    <row r="120" spans="1:9" x14ac:dyDescent="0.35">
      <c r="A120" s="274" t="s">
        <v>217</v>
      </c>
      <c r="B120" s="274" t="s">
        <v>218</v>
      </c>
      <c r="C120" s="102">
        <v>3</v>
      </c>
      <c r="D120" s="241" t="s">
        <v>420</v>
      </c>
      <c r="E120" s="240" t="s">
        <v>45</v>
      </c>
      <c r="F120" s="345" t="s">
        <v>328</v>
      </c>
      <c r="G120" s="345"/>
      <c r="H120" s="345" t="s">
        <v>419</v>
      </c>
      <c r="I120" s="345"/>
    </row>
    <row r="121" spans="1:9" x14ac:dyDescent="0.35">
      <c r="A121" s="273" t="s">
        <v>128</v>
      </c>
      <c r="B121" s="276" t="s">
        <v>130</v>
      </c>
      <c r="C121" s="267">
        <v>3</v>
      </c>
      <c r="D121" s="241" t="s">
        <v>367</v>
      </c>
      <c r="E121" s="240" t="s">
        <v>368</v>
      </c>
      <c r="F121" s="345" t="s">
        <v>369</v>
      </c>
      <c r="G121" s="345"/>
      <c r="H121" s="345" t="s">
        <v>183</v>
      </c>
      <c r="I121" s="345"/>
    </row>
    <row r="122" spans="1:9" x14ac:dyDescent="0.35">
      <c r="A122" s="100" t="s">
        <v>155</v>
      </c>
      <c r="B122" s="103" t="s">
        <v>28</v>
      </c>
      <c r="C122" s="104">
        <v>13</v>
      </c>
      <c r="D122" s="100" t="s">
        <v>155</v>
      </c>
      <c r="E122" s="100" t="s">
        <v>155</v>
      </c>
      <c r="F122" s="372" t="s">
        <v>155</v>
      </c>
      <c r="G122" s="351"/>
      <c r="H122" s="372" t="s">
        <v>155</v>
      </c>
      <c r="I122" s="351"/>
    </row>
  </sheetData>
  <mergeCells count="223">
    <mergeCell ref="F110:G110"/>
    <mergeCell ref="F111:G111"/>
    <mergeCell ref="H106:I106"/>
    <mergeCell ref="H107:I107"/>
    <mergeCell ref="H108:I108"/>
    <mergeCell ref="H109:I109"/>
    <mergeCell ref="H110:I110"/>
    <mergeCell ref="H111:I111"/>
    <mergeCell ref="H102:I102"/>
    <mergeCell ref="F106:G106"/>
    <mergeCell ref="F107:G107"/>
    <mergeCell ref="F108:G108"/>
    <mergeCell ref="F109:G109"/>
    <mergeCell ref="F98:G98"/>
    <mergeCell ref="F99:G99"/>
    <mergeCell ref="F100:G100"/>
    <mergeCell ref="F101:G101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F93:G93"/>
    <mergeCell ref="F94:G94"/>
    <mergeCell ref="F95:G95"/>
    <mergeCell ref="F96:G96"/>
    <mergeCell ref="F97:G97"/>
    <mergeCell ref="F85:G85"/>
    <mergeCell ref="F86:G86"/>
    <mergeCell ref="F87:G87"/>
    <mergeCell ref="F88:G88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F80:G80"/>
    <mergeCell ref="F81:G81"/>
    <mergeCell ref="F82:G82"/>
    <mergeCell ref="F83:G83"/>
    <mergeCell ref="F84:G84"/>
    <mergeCell ref="F120:G120"/>
    <mergeCell ref="H120:I120"/>
    <mergeCell ref="F121:G121"/>
    <mergeCell ref="H121:I121"/>
    <mergeCell ref="F122:G122"/>
    <mergeCell ref="H122:I122"/>
    <mergeCell ref="F117:G117"/>
    <mergeCell ref="H117:I117"/>
    <mergeCell ref="F118:G118"/>
    <mergeCell ref="H118:I118"/>
    <mergeCell ref="F119:G119"/>
    <mergeCell ref="H119:I119"/>
    <mergeCell ref="A114:I114"/>
    <mergeCell ref="F115:G115"/>
    <mergeCell ref="H115:I115"/>
    <mergeCell ref="F116:G116"/>
    <mergeCell ref="H116:I116"/>
    <mergeCell ref="H62:I62"/>
    <mergeCell ref="H63:I63"/>
    <mergeCell ref="F73:G73"/>
    <mergeCell ref="F74:G74"/>
    <mergeCell ref="F75:G75"/>
    <mergeCell ref="F112:G112"/>
    <mergeCell ref="H112:I112"/>
    <mergeCell ref="A104:I104"/>
    <mergeCell ref="F105:G105"/>
    <mergeCell ref="H105:I105"/>
    <mergeCell ref="F102:G102"/>
    <mergeCell ref="F92:G92"/>
    <mergeCell ref="F89:G89"/>
    <mergeCell ref="H89:I89"/>
    <mergeCell ref="H92:I92"/>
    <mergeCell ref="A91:I91"/>
    <mergeCell ref="F79:G79"/>
    <mergeCell ref="H79:I79"/>
    <mergeCell ref="A78:I78"/>
    <mergeCell ref="F59:G59"/>
    <mergeCell ref="F60:G60"/>
    <mergeCell ref="F61:G61"/>
    <mergeCell ref="H56:I56"/>
    <mergeCell ref="H57:I57"/>
    <mergeCell ref="H58:I58"/>
    <mergeCell ref="H59:I59"/>
    <mergeCell ref="H60:I60"/>
    <mergeCell ref="H61:I61"/>
    <mergeCell ref="F27:G27"/>
    <mergeCell ref="H27:I27"/>
    <mergeCell ref="F56:G56"/>
    <mergeCell ref="F57:G57"/>
    <mergeCell ref="F58:G58"/>
    <mergeCell ref="F13:G13"/>
    <mergeCell ref="H8:I8"/>
    <mergeCell ref="H9:I9"/>
    <mergeCell ref="H10:I10"/>
    <mergeCell ref="H11:I11"/>
    <mergeCell ref="H12:I12"/>
    <mergeCell ref="H13:I13"/>
    <mergeCell ref="F8:G8"/>
    <mergeCell ref="F9:G9"/>
    <mergeCell ref="F10:G10"/>
    <mergeCell ref="F11:G11"/>
    <mergeCell ref="F12:G12"/>
    <mergeCell ref="H32:I32"/>
    <mergeCell ref="H33:I33"/>
    <mergeCell ref="H34:I34"/>
    <mergeCell ref="H35:I35"/>
    <mergeCell ref="A42:I42"/>
    <mergeCell ref="H41:I41"/>
    <mergeCell ref="H43:I43"/>
    <mergeCell ref="F76:G76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F68:G68"/>
    <mergeCell ref="F69:G69"/>
    <mergeCell ref="F70:G70"/>
    <mergeCell ref="F71:G71"/>
    <mergeCell ref="F72:G72"/>
    <mergeCell ref="H64:I64"/>
    <mergeCell ref="F67:G67"/>
    <mergeCell ref="H67:I67"/>
    <mergeCell ref="A66:I66"/>
    <mergeCell ref="F64:G64"/>
    <mergeCell ref="F44:G44"/>
    <mergeCell ref="H44:I44"/>
    <mergeCell ref="H45:I45"/>
    <mergeCell ref="A54:G54"/>
    <mergeCell ref="H55:I55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F62:G62"/>
    <mergeCell ref="F63:G63"/>
    <mergeCell ref="F55:G55"/>
    <mergeCell ref="F50:G50"/>
    <mergeCell ref="F51:G51"/>
    <mergeCell ref="F20:G20"/>
    <mergeCell ref="F21:G21"/>
    <mergeCell ref="F22:G22"/>
    <mergeCell ref="F23:G23"/>
    <mergeCell ref="F24:G24"/>
    <mergeCell ref="F14:G14"/>
    <mergeCell ref="F15:G15"/>
    <mergeCell ref="F16:G16"/>
    <mergeCell ref="F19:G19"/>
    <mergeCell ref="A18:I18"/>
    <mergeCell ref="H14:I14"/>
    <mergeCell ref="H15:I15"/>
    <mergeCell ref="H39:I39"/>
    <mergeCell ref="H40:I40"/>
    <mergeCell ref="H31:I31"/>
    <mergeCell ref="H28:I28"/>
    <mergeCell ref="H29:I29"/>
    <mergeCell ref="A30:I30"/>
    <mergeCell ref="F32:G32"/>
    <mergeCell ref="F33:G33"/>
    <mergeCell ref="F34:G34"/>
    <mergeCell ref="F28:G28"/>
    <mergeCell ref="F29:G29"/>
    <mergeCell ref="F35:G35"/>
    <mergeCell ref="F36:G36"/>
    <mergeCell ref="F37:G37"/>
    <mergeCell ref="F38:G38"/>
    <mergeCell ref="F39:G39"/>
    <mergeCell ref="F31:G31"/>
    <mergeCell ref="H36:I36"/>
    <mergeCell ref="H37:I37"/>
    <mergeCell ref="H38:I38"/>
    <mergeCell ref="F52:G52"/>
    <mergeCell ref="F53:G53"/>
    <mergeCell ref="F45:G45"/>
    <mergeCell ref="F46:G46"/>
    <mergeCell ref="F47:G47"/>
    <mergeCell ref="F48:G48"/>
    <mergeCell ref="F49:G49"/>
    <mergeCell ref="F40:G40"/>
    <mergeCell ref="F41:G41"/>
    <mergeCell ref="F43:G43"/>
    <mergeCell ref="F26:G26"/>
    <mergeCell ref="H21:I21"/>
    <mergeCell ref="H22:I22"/>
    <mergeCell ref="H23:I23"/>
    <mergeCell ref="H24:I24"/>
    <mergeCell ref="H26:I26"/>
    <mergeCell ref="F3:G3"/>
    <mergeCell ref="H3:I3"/>
    <mergeCell ref="A1:A3"/>
    <mergeCell ref="B1:C1"/>
    <mergeCell ref="F1:G1"/>
    <mergeCell ref="H1:I1"/>
    <mergeCell ref="B2:C2"/>
    <mergeCell ref="F2:G2"/>
    <mergeCell ref="B3:C3"/>
    <mergeCell ref="A6:I6"/>
    <mergeCell ref="H7:I7"/>
    <mergeCell ref="F7:G7"/>
    <mergeCell ref="A7"/>
    <mergeCell ref="B7"/>
    <mergeCell ref="C7"/>
    <mergeCell ref="H16:I16"/>
    <mergeCell ref="H19:I19"/>
    <mergeCell ref="H20:I20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07AEB-35CC-4CDF-9B1F-FC3E77D9C263}">
  <dimension ref="A1:Z275"/>
  <sheetViews>
    <sheetView workbookViewId="0">
      <pane ySplit="8" topLeftCell="A130" activePane="bottomLeft" state="frozen"/>
      <selection pane="bottomLeft" activeCell="J136" sqref="J136"/>
    </sheetView>
  </sheetViews>
  <sheetFormatPr defaultColWidth="14.453125" defaultRowHeight="15" customHeight="1" x14ac:dyDescent="0.35"/>
  <cols>
    <col min="1" max="1" width="11.54296875" customWidth="1"/>
    <col min="2" max="2" width="10.54296875" customWidth="1"/>
    <col min="3" max="3" width="31.81640625" customWidth="1"/>
    <col min="4" max="4" width="11.453125" customWidth="1"/>
    <col min="5" max="5" width="10.453125" customWidth="1"/>
    <col min="6" max="6" width="16.54296875" customWidth="1"/>
    <col min="7" max="7" width="9.7265625" customWidth="1"/>
    <col min="8" max="8" width="16.1796875" customWidth="1"/>
    <col min="9" max="9" width="7.54296875" customWidth="1"/>
    <col min="10" max="10" width="7.26953125" customWidth="1"/>
    <col min="11" max="11" width="7.453125" customWidth="1"/>
    <col min="12" max="13" width="6.26953125" customWidth="1"/>
    <col min="14" max="26" width="23.7265625" customWidth="1"/>
  </cols>
  <sheetData>
    <row r="1" spans="1:26" ht="15.75" customHeight="1" x14ac:dyDescent="0.35">
      <c r="A1" s="324"/>
      <c r="B1" s="326" t="s">
        <v>0</v>
      </c>
      <c r="C1" s="304"/>
      <c r="D1" s="327"/>
      <c r="E1" s="303"/>
      <c r="F1" s="303"/>
      <c r="G1" s="303"/>
      <c r="H1" s="303"/>
      <c r="I1" s="303"/>
      <c r="J1" s="304"/>
      <c r="K1" s="328" t="s">
        <v>1</v>
      </c>
      <c r="L1" s="304"/>
      <c r="M1" s="328" t="s">
        <v>2</v>
      </c>
      <c r="N1" s="30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325"/>
      <c r="B2" s="326" t="s">
        <v>3</v>
      </c>
      <c r="C2" s="304"/>
      <c r="D2" s="327"/>
      <c r="E2" s="303"/>
      <c r="F2" s="303"/>
      <c r="G2" s="303"/>
      <c r="H2" s="303"/>
      <c r="I2" s="303"/>
      <c r="J2" s="304"/>
      <c r="K2" s="328" t="s">
        <v>4</v>
      </c>
      <c r="L2" s="304"/>
      <c r="M2" s="2">
        <v>0</v>
      </c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35">
      <c r="A3" s="309"/>
      <c r="B3" s="326" t="s">
        <v>5</v>
      </c>
      <c r="C3" s="304"/>
      <c r="D3" s="327"/>
      <c r="E3" s="303"/>
      <c r="F3" s="303"/>
      <c r="G3" s="303"/>
      <c r="H3" s="303"/>
      <c r="I3" s="303"/>
      <c r="J3" s="304"/>
      <c r="K3" s="328" t="s">
        <v>6</v>
      </c>
      <c r="L3" s="304"/>
      <c r="M3" s="329" t="s">
        <v>7</v>
      </c>
      <c r="N3" s="304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5" x14ac:dyDescent="0.35">
      <c r="A4" s="6"/>
      <c r="B4" s="6"/>
      <c r="C4" s="3"/>
      <c r="D4" s="6"/>
      <c r="E4" s="7"/>
      <c r="F4" s="8"/>
      <c r="G4" s="7"/>
      <c r="H4" s="7"/>
      <c r="I4" s="7"/>
      <c r="J4" s="7"/>
      <c r="K4" s="7"/>
      <c r="L4" s="7"/>
      <c r="M4" s="7"/>
      <c r="N4" s="3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5" x14ac:dyDescent="0.35">
      <c r="A5" s="9" t="s">
        <v>8</v>
      </c>
      <c r="B5" s="6" t="s">
        <v>9</v>
      </c>
      <c r="C5" s="10"/>
      <c r="D5" s="6"/>
      <c r="E5" s="7"/>
      <c r="F5" s="8"/>
      <c r="G5" s="7"/>
      <c r="H5" s="7"/>
      <c r="I5" s="7"/>
      <c r="J5" s="7"/>
      <c r="K5" s="7"/>
      <c r="L5" s="7"/>
      <c r="M5" s="7"/>
      <c r="N5" s="3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5" x14ac:dyDescent="0.35">
      <c r="A6" s="9" t="s">
        <v>10</v>
      </c>
      <c r="B6" s="6" t="s">
        <v>11</v>
      </c>
      <c r="C6" s="3"/>
      <c r="D6" s="6"/>
      <c r="E6" s="7"/>
      <c r="F6" s="8"/>
      <c r="G6" s="7"/>
      <c r="H6" s="7"/>
      <c r="I6" s="7"/>
      <c r="J6" s="7"/>
      <c r="K6" s="7"/>
      <c r="L6" s="7"/>
      <c r="M6" s="7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5" x14ac:dyDescent="0.35">
      <c r="A7" s="330" t="s">
        <v>12</v>
      </c>
      <c r="B7" s="330" t="s">
        <v>13</v>
      </c>
      <c r="C7" s="312" t="s">
        <v>14</v>
      </c>
      <c r="D7" s="312" t="s">
        <v>15</v>
      </c>
      <c r="E7" s="312" t="s">
        <v>16</v>
      </c>
      <c r="F7" s="331" t="s">
        <v>17</v>
      </c>
      <c r="G7" s="330" t="s">
        <v>18</v>
      </c>
      <c r="H7" s="312" t="s">
        <v>19</v>
      </c>
      <c r="I7" s="312" t="s">
        <v>20</v>
      </c>
      <c r="J7" s="312" t="s">
        <v>21</v>
      </c>
      <c r="K7" s="312" t="s">
        <v>22</v>
      </c>
      <c r="L7" s="312" t="s">
        <v>23</v>
      </c>
      <c r="M7" s="312" t="s">
        <v>24</v>
      </c>
      <c r="N7" s="312" t="s">
        <v>25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1.75" customHeight="1" x14ac:dyDescent="0.35">
      <c r="A8" s="309"/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35">
      <c r="A9" s="12"/>
      <c r="B9" s="13"/>
      <c r="C9" s="14"/>
      <c r="D9" s="13"/>
      <c r="E9" s="15"/>
      <c r="F9" s="16"/>
      <c r="G9" s="13"/>
      <c r="H9" s="13"/>
      <c r="I9" s="13"/>
      <c r="J9" s="13"/>
      <c r="K9" s="13"/>
      <c r="L9" s="13"/>
      <c r="M9" s="13"/>
      <c r="N9" s="14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35">
      <c r="A10" s="316" t="s">
        <v>51</v>
      </c>
      <c r="B10" s="303"/>
      <c r="C10" s="303"/>
      <c r="D10" s="303"/>
      <c r="E10" s="303"/>
      <c r="F10" s="303"/>
      <c r="G10" s="303"/>
      <c r="H10" s="303"/>
      <c r="I10" s="303"/>
      <c r="J10" s="303"/>
      <c r="K10" s="303"/>
      <c r="L10" s="303"/>
      <c r="M10" s="303"/>
      <c r="N10" s="30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3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26" ht="15.75" customHeight="1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26" ht="15.75" customHeight="1" x14ac:dyDescent="0.3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26" ht="15.75" customHeight="1" x14ac:dyDescent="0.3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spans="1:26" ht="15.75" customHeight="1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spans="1:26" ht="15.75" customHeight="1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12" ht="15.75" customHeight="1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12" ht="16.5" customHeight="1" x14ac:dyDescent="0.35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</row>
    <row r="19" spans="1:12" ht="16.5" customHeight="1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20.25" customHeight="1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ht="23.25" customHeight="1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spans="1:12" ht="21" customHeight="1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spans="1:12" ht="21" customHeight="1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ht="21" customHeight="1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spans="1:12" ht="16.5" customHeight="1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16.5" customHeight="1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16.5" customHeight="1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16.5" customHeight="1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ht="16.5" customHeight="1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6.5" customHeight="1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15.75" customHeight="1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ht="19.5" customHeight="1" x14ac:dyDescent="0.35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</row>
    <row r="33" spans="1:12" ht="15.75" customHeight="1" x14ac:dyDescent="0.35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spans="1:12" ht="15.75" customHeight="1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ht="15.75" customHeight="1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ht="15.75" customHeight="1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ht="15.75" customHeight="1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15.75" customHeight="1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spans="1:12" ht="15.75" customHeight="1" x14ac:dyDescent="0.35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15.75" customHeight="1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5.75" customHeight="1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5.75" customHeight="1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15.75" customHeight="1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15.75" customHeight="1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ht="15.75" customHeight="1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15.75" customHeight="1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15.75" customHeight="1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ht="15.75" customHeight="1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spans="1:12" ht="15.75" customHeight="1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15.75" customHeight="1" x14ac:dyDescent="0.3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</row>
    <row r="51" spans="1:12" ht="15.75" customHeight="1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ht="38.25" customHeight="1" x14ac:dyDescent="0.3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 ht="27" customHeight="1" x14ac:dyDescent="0.3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 ht="20.25" customHeight="1" x14ac:dyDescent="0.3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 ht="34.5" customHeight="1" x14ac:dyDescent="0.3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spans="1:12" ht="15.75" customHeight="1" x14ac:dyDescent="0.3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spans="1:12" ht="15.75" customHeight="1" x14ac:dyDescent="0.3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spans="1:12" ht="15.75" customHeight="1" x14ac:dyDescent="0.3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</row>
    <row r="59" spans="1:12" ht="15.75" customHeight="1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spans="1:12" ht="24" customHeight="1" x14ac:dyDescent="0.3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12" ht="18" customHeight="1" x14ac:dyDescent="0.3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12" ht="14.25" customHeight="1" x14ac:dyDescent="0.3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 ht="15.75" customHeight="1" x14ac:dyDescent="0.3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 ht="15.75" customHeight="1" x14ac:dyDescent="0.3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 ht="15.75" customHeight="1" x14ac:dyDescent="0.3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 ht="15.75" customHeight="1" x14ac:dyDescent="0.3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 ht="15.75" customHeight="1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1:12" ht="15.75" customHeight="1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spans="1:12" ht="15.75" customHeight="1" x14ac:dyDescent="0.3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</row>
    <row r="70" spans="1:12" ht="15.75" customHeight="1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1:12" ht="15.75" customHeight="1" x14ac:dyDescent="0.3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</row>
    <row r="72" spans="1:12" ht="15.75" customHeight="1" x14ac:dyDescent="0.3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12" ht="30" customHeight="1" x14ac:dyDescent="0.3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29.25" customHeight="1" x14ac:dyDescent="0.3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 ht="15.75" customHeight="1" x14ac:dyDescent="0.3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.75" customHeight="1" x14ac:dyDescent="0.3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.75" customHeight="1" x14ac:dyDescent="0.3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spans="1:12" ht="15.75" customHeight="1" x14ac:dyDescent="0.3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 spans="1:12" ht="15.75" customHeight="1" x14ac:dyDescent="0.3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</row>
    <row r="80" spans="1:12" ht="15.75" customHeight="1" x14ac:dyDescent="0.3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</row>
    <row r="81" spans="1:12" ht="15.75" customHeight="1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spans="1:12" ht="15.75" customHeight="1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1:12" ht="15.75" customHeight="1" x14ac:dyDescent="0.3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spans="1:12" ht="15.75" customHeight="1" x14ac:dyDescent="0.3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</row>
    <row r="85" spans="1:12" ht="16.5" customHeight="1" x14ac:dyDescent="0.3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</row>
    <row r="86" spans="1:12" ht="16.5" customHeight="1" x14ac:dyDescent="0.35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</row>
    <row r="87" spans="1:12" ht="15.75" customHeight="1" x14ac:dyDescent="0.3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</row>
    <row r="88" spans="1:12" ht="15.75" customHeight="1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spans="1:12" ht="15.75" customHeight="1" x14ac:dyDescent="0.3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.75" customHeight="1" x14ac:dyDescent="0.3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.75" customHeight="1" x14ac:dyDescent="0.3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</row>
    <row r="92" spans="1:12" ht="15.75" customHeight="1" x14ac:dyDescent="0.3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</row>
    <row r="93" spans="1:12" ht="16.5" customHeight="1" x14ac:dyDescent="0.35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</row>
    <row r="94" spans="1:12" ht="16.5" customHeight="1" x14ac:dyDescent="0.35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</row>
    <row r="95" spans="1:12" ht="15" customHeight="1" x14ac:dyDescent="0.3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</row>
    <row r="96" spans="1:12" ht="16.5" customHeight="1" x14ac:dyDescent="0.35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</row>
    <row r="97" spans="1:12" ht="16.5" customHeight="1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spans="1:12" ht="16.5" customHeight="1" x14ac:dyDescent="0.3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 spans="1:12" ht="16.5" customHeight="1" x14ac:dyDescent="0.3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 spans="1:12" ht="16.5" customHeight="1" x14ac:dyDescent="0.3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spans="1:12" ht="18.75" customHeight="1" x14ac:dyDescent="0.3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</row>
    <row r="102" spans="1:12" ht="18.75" customHeight="1" x14ac:dyDescent="0.3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</row>
    <row r="103" spans="1:12" ht="19.5" customHeight="1" x14ac:dyDescent="0.3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 spans="1:12" ht="19.5" customHeight="1" x14ac:dyDescent="0.3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  <row r="105" spans="1:12" ht="16.5" customHeight="1" x14ac:dyDescent="0.3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spans="1:12" ht="16.5" customHeight="1" x14ac:dyDescent="0.3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1:12" ht="16.5" customHeight="1" x14ac:dyDescent="0.35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</row>
    <row r="108" spans="1:12" ht="15" customHeight="1" x14ac:dyDescent="0.3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</row>
    <row r="109" spans="1:12" ht="15" customHeight="1" x14ac:dyDescent="0.3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 spans="1:12" ht="15" customHeight="1" x14ac:dyDescent="0.3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spans="1:12" ht="15" customHeight="1" x14ac:dyDescent="0.35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</row>
    <row r="112" spans="1:12" ht="15" customHeight="1" x14ac:dyDescent="0.3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 spans="1:26" ht="15" customHeight="1" x14ac:dyDescent="0.3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 spans="1:26" ht="15" customHeight="1" x14ac:dyDescent="0.3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</row>
    <row r="115" spans="1:26" ht="15" customHeight="1" x14ac:dyDescent="0.3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1:26" ht="15" customHeight="1" x14ac:dyDescent="0.3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spans="1:26" ht="15" customHeight="1" x14ac:dyDescent="0.3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  <row r="118" spans="1:26" ht="15" customHeight="1" x14ac:dyDescent="0.35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</row>
    <row r="119" spans="1:26" ht="15" customHeight="1" x14ac:dyDescent="0.3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</row>
    <row r="120" spans="1:26" ht="15" customHeight="1" x14ac:dyDescent="0.35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</row>
    <row r="121" spans="1:26" ht="15" customHeight="1" x14ac:dyDescent="0.35">
      <c r="A121" s="13"/>
      <c r="B121" s="91"/>
      <c r="C121" s="14"/>
      <c r="D121" s="83"/>
      <c r="E121" s="15"/>
      <c r="F121" s="27"/>
      <c r="G121" s="15"/>
      <c r="H121" s="15"/>
      <c r="I121" s="15"/>
      <c r="J121" s="49"/>
      <c r="K121" s="15"/>
      <c r="L121" s="15"/>
      <c r="M121" s="15"/>
      <c r="N121" s="14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" customHeight="1" x14ac:dyDescent="0.35">
      <c r="A122" s="13"/>
      <c r="B122" s="13"/>
      <c r="C122" s="14"/>
      <c r="D122" s="115"/>
      <c r="E122" s="15"/>
      <c r="F122" s="16"/>
      <c r="G122" s="13"/>
      <c r="H122" s="13"/>
      <c r="I122" s="15"/>
      <c r="J122" s="15"/>
      <c r="K122" s="15"/>
      <c r="L122" s="15"/>
      <c r="M122" s="15"/>
      <c r="N122" s="14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" customHeight="1" x14ac:dyDescent="0.35">
      <c r="A123" s="13"/>
      <c r="B123" s="241" t="s">
        <v>286</v>
      </c>
      <c r="C123" s="240" t="s">
        <v>169</v>
      </c>
      <c r="D123" s="109" t="s">
        <v>292</v>
      </c>
      <c r="E123" s="242"/>
      <c r="F123" s="241" t="s">
        <v>289</v>
      </c>
      <c r="G123" s="241" t="s">
        <v>143</v>
      </c>
      <c r="H123" s="241" t="s">
        <v>290</v>
      </c>
      <c r="I123" s="241" t="s">
        <v>285</v>
      </c>
      <c r="J123" s="13"/>
      <c r="K123" s="15"/>
      <c r="L123" s="15"/>
      <c r="M123" s="15"/>
      <c r="N123" s="14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" customHeight="1" x14ac:dyDescent="0.35">
      <c r="A124" s="13"/>
      <c r="B124" s="241" t="s">
        <v>287</v>
      </c>
      <c r="C124" s="240" t="s">
        <v>169</v>
      </c>
      <c r="D124" s="109" t="s">
        <v>292</v>
      </c>
      <c r="E124" s="178"/>
      <c r="F124" s="16" t="s">
        <v>288</v>
      </c>
      <c r="G124" s="13" t="s">
        <v>36</v>
      </c>
      <c r="H124" s="13" t="s">
        <v>291</v>
      </c>
      <c r="I124" s="241" t="s">
        <v>285</v>
      </c>
      <c r="J124" s="13"/>
      <c r="K124" s="15"/>
      <c r="L124" s="15"/>
      <c r="M124" s="15"/>
      <c r="N124" s="14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" customHeight="1" x14ac:dyDescent="0.35">
      <c r="A125" s="92"/>
      <c r="B125" s="241" t="s">
        <v>286</v>
      </c>
      <c r="C125" s="240" t="s">
        <v>169</v>
      </c>
      <c r="D125" s="109" t="s">
        <v>293</v>
      </c>
      <c r="E125" s="178"/>
      <c r="F125" s="96" t="s">
        <v>298</v>
      </c>
      <c r="G125" s="96" t="s">
        <v>299</v>
      </c>
      <c r="H125" s="96" t="s">
        <v>300</v>
      </c>
      <c r="I125" s="96" t="s">
        <v>294</v>
      </c>
      <c r="J125" s="92"/>
      <c r="K125" s="15"/>
      <c r="L125" s="15"/>
      <c r="M125" s="15"/>
      <c r="N125" s="14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" customHeight="1" x14ac:dyDescent="0.35">
      <c r="A126" s="13"/>
      <c r="B126" s="241" t="s">
        <v>287</v>
      </c>
      <c r="C126" s="240" t="s">
        <v>169</v>
      </c>
      <c r="D126" s="109" t="s">
        <v>293</v>
      </c>
      <c r="E126" s="178"/>
      <c r="F126" s="16" t="s">
        <v>297</v>
      </c>
      <c r="G126" s="13" t="s">
        <v>36</v>
      </c>
      <c r="H126" s="13" t="s">
        <v>291</v>
      </c>
      <c r="I126" s="96" t="s">
        <v>294</v>
      </c>
      <c r="J126" s="13"/>
      <c r="K126" s="15"/>
      <c r="L126" s="15"/>
      <c r="M126" s="15"/>
      <c r="N126" s="14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" customHeight="1" x14ac:dyDescent="0.35">
      <c r="A127" s="13"/>
      <c r="B127" s="241" t="s">
        <v>286</v>
      </c>
      <c r="C127" s="240" t="s">
        <v>169</v>
      </c>
      <c r="D127" s="109" t="s">
        <v>125</v>
      </c>
      <c r="E127" s="178"/>
      <c r="F127" s="243" t="s">
        <v>263</v>
      </c>
      <c r="G127" s="83" t="s">
        <v>31</v>
      </c>
      <c r="H127" s="83" t="s">
        <v>302</v>
      </c>
      <c r="I127" s="83" t="s">
        <v>296</v>
      </c>
      <c r="J127" s="15"/>
      <c r="K127" s="15"/>
      <c r="L127" s="15"/>
      <c r="M127" s="15"/>
      <c r="N127" s="14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35">
      <c r="A128" s="13"/>
      <c r="B128" s="241" t="s">
        <v>287</v>
      </c>
      <c r="C128" s="240" t="s">
        <v>169</v>
      </c>
      <c r="D128" s="109" t="s">
        <v>125</v>
      </c>
      <c r="E128" s="178"/>
      <c r="F128" s="16" t="s">
        <v>297</v>
      </c>
      <c r="G128" s="13" t="s">
        <v>29</v>
      </c>
      <c r="H128" s="13" t="s">
        <v>301</v>
      </c>
      <c r="I128" s="13" t="s">
        <v>295</v>
      </c>
      <c r="J128" s="13"/>
      <c r="K128" s="13"/>
      <c r="L128" s="13"/>
      <c r="M128" s="13"/>
      <c r="N128" s="14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35">
      <c r="A129" s="13"/>
      <c r="B129" s="83" t="s">
        <v>303</v>
      </c>
      <c r="C129" s="244" t="s">
        <v>253</v>
      </c>
      <c r="D129" s="245" t="s">
        <v>254</v>
      </c>
      <c r="E129" s="245"/>
      <c r="F129" s="246" t="s">
        <v>281</v>
      </c>
      <c r="G129" s="247" t="s">
        <v>36</v>
      </c>
      <c r="H129" s="249" t="s">
        <v>55</v>
      </c>
      <c r="I129" s="248" t="s">
        <v>144</v>
      </c>
      <c r="J129" s="35"/>
      <c r="K129" s="13"/>
      <c r="L129" s="13"/>
      <c r="M129" s="13"/>
      <c r="N129" s="14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35">
      <c r="A130" s="13"/>
      <c r="B130" s="218" t="s">
        <v>231</v>
      </c>
      <c r="C130" s="109" t="s">
        <v>250</v>
      </c>
      <c r="D130" s="287" t="s">
        <v>424</v>
      </c>
      <c r="E130" s="288">
        <v>0</v>
      </c>
      <c r="F130" s="289" t="s">
        <v>421</v>
      </c>
      <c r="G130" s="288" t="s">
        <v>27</v>
      </c>
      <c r="H130" s="288" t="s">
        <v>422</v>
      </c>
      <c r="I130" s="290" t="s">
        <v>423</v>
      </c>
      <c r="J130" s="131"/>
      <c r="K130" s="13"/>
      <c r="L130" s="13"/>
      <c r="M130" s="13"/>
      <c r="N130" s="14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35">
      <c r="A131" s="13"/>
      <c r="B131" s="13"/>
      <c r="C131" s="14"/>
      <c r="D131" s="115"/>
      <c r="E131" s="15"/>
      <c r="F131" s="16"/>
      <c r="G131" s="13"/>
      <c r="H131" s="115"/>
      <c r="I131" s="13"/>
      <c r="J131" s="13"/>
      <c r="K131" s="13"/>
      <c r="L131" s="13"/>
      <c r="M131" s="13"/>
      <c r="N131" s="14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35">
      <c r="A132" s="13"/>
      <c r="B132" s="218" t="s">
        <v>231</v>
      </c>
      <c r="C132" s="109" t="s">
        <v>250</v>
      </c>
      <c r="D132" s="291" t="s">
        <v>269</v>
      </c>
      <c r="E132" s="178"/>
      <c r="F132" s="16" t="s">
        <v>247</v>
      </c>
      <c r="G132" s="113" t="s">
        <v>38</v>
      </c>
      <c r="H132" s="101" t="s">
        <v>436</v>
      </c>
      <c r="I132" s="135" t="s">
        <v>427</v>
      </c>
      <c r="J132" s="13"/>
      <c r="K132" s="13"/>
      <c r="L132" s="13"/>
      <c r="M132" s="13"/>
      <c r="N132" s="14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35">
      <c r="A133" s="13"/>
      <c r="B133" s="218" t="s">
        <v>231</v>
      </c>
      <c r="C133" s="109" t="s">
        <v>250</v>
      </c>
      <c r="D133" s="291" t="s">
        <v>273</v>
      </c>
      <c r="E133" s="178"/>
      <c r="F133" s="16" t="s">
        <v>263</v>
      </c>
      <c r="G133" s="113" t="s">
        <v>249</v>
      </c>
      <c r="H133" s="101" t="s">
        <v>437</v>
      </c>
      <c r="I133" s="135" t="s">
        <v>428</v>
      </c>
      <c r="J133" s="13"/>
      <c r="K133" s="13"/>
      <c r="L133" s="13"/>
      <c r="M133" s="13"/>
      <c r="N133" s="14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35">
      <c r="A134" s="13"/>
      <c r="B134" s="218" t="s">
        <v>231</v>
      </c>
      <c r="C134" s="109" t="s">
        <v>250</v>
      </c>
      <c r="D134" s="291" t="s">
        <v>272</v>
      </c>
      <c r="E134" s="178"/>
      <c r="F134" s="16" t="s">
        <v>271</v>
      </c>
      <c r="G134" s="113" t="s">
        <v>31</v>
      </c>
      <c r="H134" s="101" t="s">
        <v>438</v>
      </c>
      <c r="I134" s="135" t="s">
        <v>429</v>
      </c>
      <c r="J134" s="13"/>
      <c r="K134" s="13"/>
      <c r="L134" s="13"/>
      <c r="M134" s="13"/>
      <c r="N134" s="14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35">
      <c r="A135" s="13"/>
      <c r="B135" s="13" t="s">
        <v>222</v>
      </c>
      <c r="C135" s="13" t="s">
        <v>59</v>
      </c>
      <c r="D135" s="291" t="s">
        <v>269</v>
      </c>
      <c r="E135" s="15"/>
      <c r="F135" s="16" t="s">
        <v>103</v>
      </c>
      <c r="G135" s="113" t="s">
        <v>36</v>
      </c>
      <c r="H135" s="101" t="s">
        <v>435</v>
      </c>
      <c r="I135" s="135" t="s">
        <v>425</v>
      </c>
      <c r="J135" s="13"/>
      <c r="K135" s="13"/>
      <c r="L135" s="13"/>
      <c r="M135" s="13"/>
      <c r="N135" s="14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35">
      <c r="A136" s="13"/>
      <c r="B136" s="13" t="s">
        <v>222</v>
      </c>
      <c r="C136" s="13" t="s">
        <v>59</v>
      </c>
      <c r="D136" s="291" t="s">
        <v>273</v>
      </c>
      <c r="E136" s="15"/>
      <c r="F136" s="16" t="s">
        <v>60</v>
      </c>
      <c r="G136" s="113" t="s">
        <v>29</v>
      </c>
      <c r="H136" s="101" t="s">
        <v>435</v>
      </c>
      <c r="I136" s="135" t="s">
        <v>425</v>
      </c>
      <c r="J136" s="13"/>
      <c r="K136" s="13"/>
      <c r="L136" s="13"/>
      <c r="M136" s="13"/>
      <c r="N136" s="14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35">
      <c r="A137" s="13"/>
      <c r="B137" s="13" t="s">
        <v>222</v>
      </c>
      <c r="C137" s="13" t="s">
        <v>59</v>
      </c>
      <c r="D137" s="291" t="s">
        <v>272</v>
      </c>
      <c r="E137" s="15"/>
      <c r="F137" s="16" t="s">
        <v>127</v>
      </c>
      <c r="G137" s="113" t="s">
        <v>29</v>
      </c>
      <c r="H137" s="101" t="s">
        <v>435</v>
      </c>
      <c r="I137" s="135" t="s">
        <v>425</v>
      </c>
      <c r="J137" s="13"/>
      <c r="K137" s="13"/>
      <c r="L137" s="13"/>
      <c r="M137" s="13"/>
      <c r="N137" s="14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35">
      <c r="A138" s="13"/>
      <c r="B138" s="118" t="s">
        <v>222</v>
      </c>
      <c r="C138" s="13" t="s">
        <v>59</v>
      </c>
      <c r="D138" s="125" t="s">
        <v>223</v>
      </c>
      <c r="E138" s="119"/>
      <c r="F138" s="247" t="s">
        <v>103</v>
      </c>
      <c r="G138" s="299" t="s">
        <v>29</v>
      </c>
      <c r="H138" s="101" t="s">
        <v>275</v>
      </c>
      <c r="I138" s="300" t="s">
        <v>426</v>
      </c>
      <c r="J138" s="184"/>
      <c r="K138" s="13"/>
      <c r="L138" s="13"/>
      <c r="M138" s="13"/>
      <c r="N138" s="14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35">
      <c r="A139" s="13"/>
      <c r="B139" s="13"/>
      <c r="C139" s="14"/>
      <c r="D139" s="13"/>
      <c r="E139" s="15"/>
      <c r="F139" s="16"/>
      <c r="G139" s="13"/>
      <c r="H139" s="118"/>
      <c r="I139" s="13"/>
      <c r="J139" s="13"/>
      <c r="K139" s="13"/>
      <c r="L139" s="13"/>
      <c r="M139" s="13"/>
      <c r="N139" s="14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35">
      <c r="A140" s="13"/>
      <c r="B140" s="13"/>
      <c r="C140" s="14"/>
      <c r="D140" s="13"/>
      <c r="E140" s="15"/>
      <c r="F140" s="16"/>
      <c r="G140" s="13"/>
      <c r="H140" s="13"/>
      <c r="I140" s="13"/>
      <c r="J140" s="13"/>
      <c r="K140" s="13"/>
      <c r="L140" s="13"/>
      <c r="M140" s="13"/>
      <c r="N140" s="14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35">
      <c r="A141" s="13"/>
      <c r="B141" s="13"/>
      <c r="C141" s="14"/>
      <c r="D141" s="13"/>
      <c r="E141" s="15"/>
      <c r="F141" s="16"/>
      <c r="G141" s="13"/>
      <c r="H141" s="13"/>
      <c r="I141" s="13"/>
      <c r="J141" s="13"/>
      <c r="K141" s="13"/>
      <c r="L141" s="13"/>
      <c r="M141" s="13"/>
      <c r="N141" s="14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35">
      <c r="A142" s="13"/>
      <c r="B142" s="13"/>
      <c r="C142" s="14"/>
      <c r="D142" s="13"/>
      <c r="E142" s="15"/>
      <c r="F142" s="16"/>
      <c r="G142" s="13"/>
      <c r="H142" s="13"/>
      <c r="I142" s="13"/>
      <c r="J142" s="13"/>
      <c r="K142" s="13"/>
      <c r="L142" s="13"/>
      <c r="M142" s="13"/>
      <c r="N142" s="14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35">
      <c r="A143" s="13"/>
      <c r="B143" s="13"/>
      <c r="C143" s="14"/>
      <c r="D143" s="13"/>
      <c r="E143" s="15"/>
      <c r="F143" s="16"/>
      <c r="G143" s="13"/>
      <c r="H143" s="13"/>
      <c r="I143" s="13"/>
      <c r="J143" s="13"/>
      <c r="K143" s="13"/>
      <c r="L143" s="13"/>
      <c r="M143" s="13"/>
      <c r="N143" s="14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35">
      <c r="A144" s="13"/>
      <c r="B144" s="13"/>
      <c r="C144" s="14"/>
      <c r="D144" s="13"/>
      <c r="E144" s="15"/>
      <c r="F144" s="16"/>
      <c r="G144" s="13"/>
      <c r="H144" s="13"/>
      <c r="I144" s="13"/>
      <c r="J144" s="13"/>
      <c r="K144" s="13"/>
      <c r="L144" s="13"/>
      <c r="M144" s="13"/>
      <c r="N144" s="14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35">
      <c r="A145" s="13"/>
      <c r="B145" s="13"/>
      <c r="C145" s="14"/>
      <c r="D145" s="13"/>
      <c r="E145" s="15"/>
      <c r="F145" s="16"/>
      <c r="G145" s="13"/>
      <c r="H145" s="13"/>
      <c r="I145" s="13"/>
      <c r="J145" s="13"/>
      <c r="K145" s="13"/>
      <c r="L145" s="13"/>
      <c r="M145" s="13"/>
      <c r="N145" s="14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35">
      <c r="A146" s="13"/>
      <c r="B146" s="13"/>
      <c r="C146" s="14"/>
      <c r="D146" s="13"/>
      <c r="E146" s="15"/>
      <c r="F146" s="16"/>
      <c r="G146" s="13"/>
      <c r="H146" s="13"/>
      <c r="I146" s="13"/>
      <c r="J146" s="13"/>
      <c r="K146" s="13"/>
      <c r="L146" s="13"/>
      <c r="M146" s="13"/>
      <c r="N146" s="14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35">
      <c r="A147" s="13"/>
      <c r="B147" s="13"/>
      <c r="C147" s="14"/>
      <c r="D147" s="13"/>
      <c r="E147" s="15"/>
      <c r="F147" s="16"/>
      <c r="G147" s="13"/>
      <c r="H147" s="13"/>
      <c r="I147" s="13"/>
      <c r="J147" s="13"/>
      <c r="K147" s="13"/>
      <c r="L147" s="13"/>
      <c r="M147" s="13"/>
      <c r="N147" s="14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35">
      <c r="A148" s="13"/>
      <c r="B148" s="13"/>
      <c r="C148" s="14"/>
      <c r="D148" s="13"/>
      <c r="E148" s="15"/>
      <c r="F148" s="16"/>
      <c r="G148" s="13"/>
      <c r="H148" s="13"/>
      <c r="I148" s="13"/>
      <c r="J148" s="13"/>
      <c r="K148" s="13"/>
      <c r="L148" s="13"/>
      <c r="M148" s="13"/>
      <c r="N148" s="14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35">
      <c r="A149" s="13"/>
      <c r="B149" s="13"/>
      <c r="C149" s="14"/>
      <c r="D149" s="13"/>
      <c r="E149" s="15"/>
      <c r="F149" s="16"/>
      <c r="G149" s="13"/>
      <c r="H149" s="13"/>
      <c r="I149" s="13"/>
      <c r="J149" s="13"/>
      <c r="K149" s="13"/>
      <c r="L149" s="13"/>
      <c r="M149" s="13"/>
      <c r="N149" s="14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35">
      <c r="A150" s="13"/>
      <c r="B150" s="13"/>
      <c r="C150" s="14"/>
      <c r="D150" s="13"/>
      <c r="E150" s="15"/>
      <c r="F150" s="16"/>
      <c r="G150" s="13"/>
      <c r="H150" s="13"/>
      <c r="I150" s="13"/>
      <c r="J150" s="13"/>
      <c r="K150" s="13"/>
      <c r="L150" s="13"/>
      <c r="M150" s="13"/>
      <c r="N150" s="14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35">
      <c r="A151" s="13"/>
      <c r="B151" s="13"/>
      <c r="C151" s="14"/>
      <c r="D151" s="13"/>
      <c r="E151" s="15"/>
      <c r="F151" s="16"/>
      <c r="G151" s="13"/>
      <c r="H151" s="13"/>
      <c r="I151" s="13"/>
      <c r="J151" s="13"/>
      <c r="K151" s="13"/>
      <c r="L151" s="13"/>
      <c r="M151" s="13"/>
      <c r="N151" s="14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35">
      <c r="A152" s="13"/>
      <c r="B152" s="13"/>
      <c r="C152" s="14"/>
      <c r="D152" s="13"/>
      <c r="E152" s="15"/>
      <c r="F152" s="16"/>
      <c r="G152" s="13"/>
      <c r="H152" s="13"/>
      <c r="I152" s="13"/>
      <c r="J152" s="13"/>
      <c r="K152" s="13"/>
      <c r="L152" s="13"/>
      <c r="M152" s="13"/>
      <c r="N152" s="14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35">
      <c r="A153" s="13"/>
      <c r="B153" s="13"/>
      <c r="C153" s="14"/>
      <c r="D153" s="13"/>
      <c r="E153" s="15"/>
      <c r="F153" s="16"/>
      <c r="G153" s="13"/>
      <c r="H153" s="13"/>
      <c r="I153" s="13"/>
      <c r="J153" s="13"/>
      <c r="K153" s="13"/>
      <c r="L153" s="13"/>
      <c r="M153" s="13"/>
      <c r="N153" s="14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35">
      <c r="A154" s="13"/>
      <c r="B154" s="13"/>
      <c r="C154" s="14"/>
      <c r="D154" s="13"/>
      <c r="E154" s="15"/>
      <c r="F154" s="16"/>
      <c r="G154" s="13"/>
      <c r="H154" s="13"/>
      <c r="I154" s="13"/>
      <c r="J154" s="13"/>
      <c r="K154" s="13"/>
      <c r="L154" s="13"/>
      <c r="M154" s="13"/>
      <c r="N154" s="14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35">
      <c r="A155" s="13"/>
      <c r="B155" s="13"/>
      <c r="C155" s="14"/>
      <c r="D155" s="13"/>
      <c r="E155" s="15"/>
      <c r="F155" s="16"/>
      <c r="G155" s="13"/>
      <c r="H155" s="13"/>
      <c r="I155" s="13"/>
      <c r="J155" s="13"/>
      <c r="K155" s="13"/>
      <c r="L155" s="13"/>
      <c r="M155" s="13"/>
      <c r="N155" s="14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35">
      <c r="A156" s="13"/>
      <c r="B156" s="13"/>
      <c r="C156" s="14"/>
      <c r="D156" s="13"/>
      <c r="E156" s="15"/>
      <c r="F156" s="16"/>
      <c r="G156" s="13"/>
      <c r="H156" s="13"/>
      <c r="I156" s="13"/>
      <c r="J156" s="13"/>
      <c r="K156" s="13"/>
      <c r="L156" s="13"/>
      <c r="M156" s="13"/>
      <c r="N156" s="14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35">
      <c r="A157" s="13"/>
      <c r="B157" s="13"/>
      <c r="C157" s="14"/>
      <c r="D157" s="13"/>
      <c r="E157" s="15"/>
      <c r="F157" s="16"/>
      <c r="G157" s="13"/>
      <c r="H157" s="13"/>
      <c r="I157" s="13"/>
      <c r="J157" s="13"/>
      <c r="K157" s="13"/>
      <c r="L157" s="13"/>
      <c r="M157" s="13"/>
      <c r="N157" s="14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35">
      <c r="A158" s="13"/>
      <c r="B158" s="13"/>
      <c r="C158" s="14"/>
      <c r="D158" s="13"/>
      <c r="E158" s="15"/>
      <c r="F158" s="16"/>
      <c r="G158" s="13"/>
      <c r="H158" s="13"/>
      <c r="I158" s="13"/>
      <c r="J158" s="13"/>
      <c r="K158" s="13"/>
      <c r="L158" s="13"/>
      <c r="M158" s="13"/>
      <c r="N158" s="14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35">
      <c r="A159" s="13"/>
      <c r="B159" s="13"/>
      <c r="C159" s="14"/>
      <c r="D159" s="13"/>
      <c r="E159" s="15"/>
      <c r="F159" s="16"/>
      <c r="G159" s="13"/>
      <c r="H159" s="13"/>
      <c r="I159" s="13"/>
      <c r="J159" s="13"/>
      <c r="K159" s="13"/>
      <c r="L159" s="13"/>
      <c r="M159" s="13"/>
      <c r="N159" s="14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35">
      <c r="A160" s="13"/>
      <c r="B160" s="13"/>
      <c r="C160" s="14"/>
      <c r="D160" s="13"/>
      <c r="E160" s="15"/>
      <c r="F160" s="16"/>
      <c r="G160" s="13"/>
      <c r="H160" s="13"/>
      <c r="I160" s="13"/>
      <c r="J160" s="13"/>
      <c r="K160" s="13"/>
      <c r="L160" s="13"/>
      <c r="M160" s="13"/>
      <c r="N160" s="14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35">
      <c r="A161" s="13"/>
      <c r="B161" s="13"/>
      <c r="C161" s="14"/>
      <c r="D161" s="13"/>
      <c r="E161" s="15"/>
      <c r="F161" s="16"/>
      <c r="G161" s="13"/>
      <c r="H161" s="13"/>
      <c r="I161" s="13"/>
      <c r="J161" s="13"/>
      <c r="K161" s="13"/>
      <c r="L161" s="13"/>
      <c r="M161" s="13"/>
      <c r="N161" s="14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35">
      <c r="A162" s="13"/>
      <c r="B162" s="13"/>
      <c r="C162" s="14"/>
      <c r="D162" s="13"/>
      <c r="E162" s="15"/>
      <c r="F162" s="16"/>
      <c r="G162" s="13"/>
      <c r="H162" s="13"/>
      <c r="I162" s="13"/>
      <c r="J162" s="13"/>
      <c r="K162" s="13"/>
      <c r="L162" s="13"/>
      <c r="M162" s="13"/>
      <c r="N162" s="14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35">
      <c r="A163" s="13"/>
      <c r="B163" s="13"/>
      <c r="C163" s="14"/>
      <c r="D163" s="13"/>
      <c r="E163" s="15"/>
      <c r="F163" s="16"/>
      <c r="G163" s="13"/>
      <c r="H163" s="13"/>
      <c r="I163" s="13"/>
      <c r="J163" s="13"/>
      <c r="K163" s="13"/>
      <c r="L163" s="13"/>
      <c r="M163" s="13"/>
      <c r="N163" s="14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35">
      <c r="A164" s="13"/>
      <c r="B164" s="13"/>
      <c r="C164" s="14"/>
      <c r="D164" s="13"/>
      <c r="E164" s="15"/>
      <c r="F164" s="16"/>
      <c r="G164" s="13"/>
      <c r="H164" s="13"/>
      <c r="I164" s="13"/>
      <c r="J164" s="13"/>
      <c r="K164" s="13"/>
      <c r="L164" s="13"/>
      <c r="M164" s="13"/>
      <c r="N164" s="14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35">
      <c r="A165" s="13"/>
      <c r="B165" s="13"/>
      <c r="C165" s="14"/>
      <c r="D165" s="13"/>
      <c r="E165" s="15"/>
      <c r="F165" s="16"/>
      <c r="G165" s="13"/>
      <c r="H165" s="13"/>
      <c r="I165" s="13"/>
      <c r="J165" s="13"/>
      <c r="K165" s="13"/>
      <c r="L165" s="13"/>
      <c r="M165" s="13"/>
      <c r="N165" s="14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35">
      <c r="A166" s="13"/>
      <c r="B166" s="13"/>
      <c r="C166" s="14"/>
      <c r="D166" s="13"/>
      <c r="E166" s="15"/>
      <c r="F166" s="16"/>
      <c r="G166" s="13"/>
      <c r="H166" s="13"/>
      <c r="I166" s="13"/>
      <c r="J166" s="13"/>
      <c r="K166" s="13"/>
      <c r="L166" s="13"/>
      <c r="M166" s="13"/>
      <c r="N166" s="14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35">
      <c r="A167" s="13"/>
      <c r="B167" s="13"/>
      <c r="C167" s="14"/>
      <c r="D167" s="13"/>
      <c r="E167" s="15"/>
      <c r="F167" s="16"/>
      <c r="G167" s="13"/>
      <c r="H167" s="13"/>
      <c r="I167" s="13"/>
      <c r="J167" s="13"/>
      <c r="K167" s="13"/>
      <c r="L167" s="13"/>
      <c r="M167" s="13"/>
      <c r="N167" s="14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35">
      <c r="A168" s="13"/>
      <c r="B168" s="13"/>
      <c r="C168" s="14"/>
      <c r="D168" s="13"/>
      <c r="E168" s="15"/>
      <c r="F168" s="16"/>
      <c r="G168" s="13"/>
      <c r="H168" s="13"/>
      <c r="I168" s="13"/>
      <c r="J168" s="13"/>
      <c r="K168" s="13"/>
      <c r="L168" s="13"/>
      <c r="M168" s="13"/>
      <c r="N168" s="14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35">
      <c r="A169" s="13"/>
      <c r="B169" s="13"/>
      <c r="C169" s="14"/>
      <c r="D169" s="13"/>
      <c r="E169" s="15"/>
      <c r="F169" s="16"/>
      <c r="G169" s="13"/>
      <c r="H169" s="13"/>
      <c r="I169" s="13"/>
      <c r="J169" s="13"/>
      <c r="K169" s="13"/>
      <c r="L169" s="13"/>
      <c r="M169" s="13"/>
      <c r="N169" s="14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35">
      <c r="A170" s="13"/>
      <c r="B170" s="13"/>
      <c r="C170" s="14"/>
      <c r="D170" s="13"/>
      <c r="E170" s="15"/>
      <c r="F170" s="16"/>
      <c r="G170" s="13"/>
      <c r="H170" s="13"/>
      <c r="I170" s="13"/>
      <c r="J170" s="13"/>
      <c r="K170" s="13"/>
      <c r="L170" s="13"/>
      <c r="M170" s="13"/>
      <c r="N170" s="14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35">
      <c r="A171" s="13"/>
      <c r="B171" s="13"/>
      <c r="C171" s="14"/>
      <c r="D171" s="13"/>
      <c r="E171" s="15"/>
      <c r="F171" s="16"/>
      <c r="G171" s="13"/>
      <c r="H171" s="13"/>
      <c r="I171" s="13"/>
      <c r="J171" s="13"/>
      <c r="K171" s="13"/>
      <c r="L171" s="13"/>
      <c r="M171" s="13"/>
      <c r="N171" s="14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35">
      <c r="A172" s="13"/>
      <c r="B172" s="13"/>
      <c r="C172" s="14"/>
      <c r="D172" s="13"/>
      <c r="E172" s="15"/>
      <c r="F172" s="16"/>
      <c r="G172" s="13"/>
      <c r="H172" s="13"/>
      <c r="I172" s="13"/>
      <c r="J172" s="13"/>
      <c r="K172" s="13"/>
      <c r="L172" s="13"/>
      <c r="M172" s="13"/>
      <c r="N172" s="14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35">
      <c r="A173" s="13"/>
      <c r="B173" s="13"/>
      <c r="C173" s="14"/>
      <c r="D173" s="13"/>
      <c r="E173" s="15"/>
      <c r="F173" s="16"/>
      <c r="G173" s="13"/>
      <c r="H173" s="13"/>
      <c r="I173" s="13"/>
      <c r="J173" s="13"/>
      <c r="K173" s="13"/>
      <c r="L173" s="13"/>
      <c r="M173" s="13"/>
      <c r="N173" s="14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35">
      <c r="A174" s="13"/>
      <c r="B174" s="13"/>
      <c r="C174" s="14"/>
      <c r="D174" s="13"/>
      <c r="E174" s="15"/>
      <c r="F174" s="16"/>
      <c r="G174" s="13"/>
      <c r="H174" s="13"/>
      <c r="I174" s="13"/>
      <c r="J174" s="13"/>
      <c r="K174" s="13"/>
      <c r="L174" s="13"/>
      <c r="M174" s="13"/>
      <c r="N174" s="14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35">
      <c r="A175" s="13"/>
      <c r="B175" s="13"/>
      <c r="C175" s="14"/>
      <c r="D175" s="13"/>
      <c r="E175" s="15"/>
      <c r="F175" s="16"/>
      <c r="G175" s="13"/>
      <c r="H175" s="13"/>
      <c r="I175" s="13"/>
      <c r="J175" s="13"/>
      <c r="K175" s="13"/>
      <c r="L175" s="13"/>
      <c r="M175" s="13"/>
      <c r="N175" s="14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35">
      <c r="A176" s="13"/>
      <c r="B176" s="13"/>
      <c r="C176" s="14"/>
      <c r="D176" s="13"/>
      <c r="E176" s="15"/>
      <c r="F176" s="16"/>
      <c r="G176" s="13"/>
      <c r="H176" s="13"/>
      <c r="I176" s="13"/>
      <c r="J176" s="13"/>
      <c r="K176" s="13"/>
      <c r="L176" s="13"/>
      <c r="M176" s="13"/>
      <c r="N176" s="14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35">
      <c r="A177" s="13"/>
      <c r="B177" s="13"/>
      <c r="C177" s="14"/>
      <c r="D177" s="13"/>
      <c r="E177" s="15"/>
      <c r="F177" s="16"/>
      <c r="G177" s="13"/>
      <c r="H177" s="13"/>
      <c r="I177" s="13"/>
      <c r="J177" s="13"/>
      <c r="K177" s="13"/>
      <c r="L177" s="13"/>
      <c r="M177" s="13"/>
      <c r="N177" s="14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35">
      <c r="A178" s="13"/>
      <c r="B178" s="13"/>
      <c r="C178" s="14"/>
      <c r="D178" s="13"/>
      <c r="E178" s="15"/>
      <c r="F178" s="16"/>
      <c r="G178" s="13"/>
      <c r="H178" s="13"/>
      <c r="I178" s="13"/>
      <c r="J178" s="13"/>
      <c r="K178" s="13"/>
      <c r="L178" s="13"/>
      <c r="M178" s="13"/>
      <c r="N178" s="14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35">
      <c r="A179" s="13"/>
      <c r="B179" s="13"/>
      <c r="C179" s="14"/>
      <c r="D179" s="13"/>
      <c r="E179" s="15"/>
      <c r="F179" s="16"/>
      <c r="G179" s="13"/>
      <c r="H179" s="13"/>
      <c r="I179" s="13"/>
      <c r="J179" s="13"/>
      <c r="K179" s="13"/>
      <c r="L179" s="13"/>
      <c r="M179" s="13"/>
      <c r="N179" s="14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35">
      <c r="A180" s="13"/>
      <c r="B180" s="13"/>
      <c r="C180" s="14"/>
      <c r="D180" s="13"/>
      <c r="E180" s="15"/>
      <c r="F180" s="16"/>
      <c r="G180" s="13"/>
      <c r="H180" s="13"/>
      <c r="I180" s="13"/>
      <c r="J180" s="13"/>
      <c r="K180" s="13"/>
      <c r="L180" s="13"/>
      <c r="M180" s="13"/>
      <c r="N180" s="14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35">
      <c r="A181" s="13"/>
      <c r="B181" s="13"/>
      <c r="C181" s="14"/>
      <c r="D181" s="13"/>
      <c r="E181" s="15"/>
      <c r="F181" s="16"/>
      <c r="G181" s="13"/>
      <c r="H181" s="13"/>
      <c r="I181" s="13"/>
      <c r="J181" s="13"/>
      <c r="K181" s="13"/>
      <c r="L181" s="13"/>
      <c r="M181" s="13"/>
      <c r="N181" s="14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35">
      <c r="A182" s="13"/>
      <c r="B182" s="13"/>
      <c r="C182" s="14"/>
      <c r="D182" s="13"/>
      <c r="E182" s="15"/>
      <c r="F182" s="16"/>
      <c r="G182" s="13"/>
      <c r="H182" s="13"/>
      <c r="I182" s="13"/>
      <c r="J182" s="13"/>
      <c r="K182" s="13"/>
      <c r="L182" s="13"/>
      <c r="M182" s="13"/>
      <c r="N182" s="14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35">
      <c r="A183" s="13"/>
      <c r="B183" s="13"/>
      <c r="C183" s="14"/>
      <c r="D183" s="13"/>
      <c r="E183" s="15"/>
      <c r="F183" s="16"/>
      <c r="G183" s="13"/>
      <c r="H183" s="13"/>
      <c r="I183" s="13"/>
      <c r="J183" s="13"/>
      <c r="K183" s="13"/>
      <c r="L183" s="13"/>
      <c r="M183" s="13"/>
      <c r="N183" s="14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35">
      <c r="A184" s="13"/>
      <c r="B184" s="13"/>
      <c r="C184" s="14"/>
      <c r="D184" s="13"/>
      <c r="E184" s="15"/>
      <c r="F184" s="16"/>
      <c r="G184" s="13"/>
      <c r="H184" s="13"/>
      <c r="I184" s="13"/>
      <c r="J184" s="13"/>
      <c r="K184" s="13"/>
      <c r="L184" s="13"/>
      <c r="M184" s="13"/>
      <c r="N184" s="14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35">
      <c r="A185" s="13"/>
      <c r="B185" s="13"/>
      <c r="C185" s="14"/>
      <c r="D185" s="13"/>
      <c r="E185" s="15"/>
      <c r="F185" s="16"/>
      <c r="G185" s="13"/>
      <c r="H185" s="13"/>
      <c r="I185" s="13"/>
      <c r="J185" s="13"/>
      <c r="K185" s="13"/>
      <c r="L185" s="13"/>
      <c r="M185" s="13"/>
      <c r="N185" s="14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35">
      <c r="A186" s="13"/>
      <c r="B186" s="13"/>
      <c r="C186" s="14"/>
      <c r="D186" s="13"/>
      <c r="E186" s="15"/>
      <c r="F186" s="16"/>
      <c r="G186" s="13"/>
      <c r="H186" s="13"/>
      <c r="I186" s="13"/>
      <c r="J186" s="13"/>
      <c r="K186" s="13"/>
      <c r="L186" s="13"/>
      <c r="M186" s="13"/>
      <c r="N186" s="14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35">
      <c r="A187" s="13"/>
      <c r="B187" s="13"/>
      <c r="C187" s="14"/>
      <c r="D187" s="13"/>
      <c r="E187" s="15"/>
      <c r="F187" s="16"/>
      <c r="G187" s="13"/>
      <c r="H187" s="13"/>
      <c r="I187" s="13"/>
      <c r="J187" s="13"/>
      <c r="K187" s="13"/>
      <c r="L187" s="13"/>
      <c r="M187" s="13"/>
      <c r="N187" s="14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35">
      <c r="A188" s="13"/>
      <c r="B188" s="13"/>
      <c r="C188" s="14"/>
      <c r="D188" s="13"/>
      <c r="E188" s="15"/>
      <c r="F188" s="16"/>
      <c r="G188" s="13"/>
      <c r="H188" s="13"/>
      <c r="I188" s="13"/>
      <c r="J188" s="13"/>
      <c r="K188" s="13"/>
      <c r="L188" s="13"/>
      <c r="M188" s="13"/>
      <c r="N188" s="14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35">
      <c r="A189" s="13"/>
      <c r="B189" s="13"/>
      <c r="C189" s="14"/>
      <c r="D189" s="13"/>
      <c r="E189" s="15"/>
      <c r="F189" s="16"/>
      <c r="G189" s="13"/>
      <c r="H189" s="13"/>
      <c r="I189" s="13"/>
      <c r="J189" s="13"/>
      <c r="K189" s="13"/>
      <c r="L189" s="13"/>
      <c r="M189" s="13"/>
      <c r="N189" s="14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35">
      <c r="A190" s="13"/>
      <c r="B190" s="13"/>
      <c r="C190" s="14"/>
      <c r="D190" s="13"/>
      <c r="E190" s="15"/>
      <c r="F190" s="16"/>
      <c r="G190" s="13"/>
      <c r="H190" s="13"/>
      <c r="I190" s="13"/>
      <c r="J190" s="13"/>
      <c r="K190" s="13"/>
      <c r="L190" s="13"/>
      <c r="M190" s="13"/>
      <c r="N190" s="14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35">
      <c r="A191" s="13"/>
      <c r="B191" s="13"/>
      <c r="C191" s="14"/>
      <c r="D191" s="13"/>
      <c r="E191" s="15"/>
      <c r="F191" s="16"/>
      <c r="G191" s="13"/>
      <c r="H191" s="13"/>
      <c r="I191" s="13"/>
      <c r="J191" s="13"/>
      <c r="K191" s="13"/>
      <c r="L191" s="13"/>
      <c r="M191" s="13"/>
      <c r="N191" s="14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35">
      <c r="A192" s="13"/>
      <c r="B192" s="13"/>
      <c r="C192" s="14"/>
      <c r="D192" s="13"/>
      <c r="E192" s="15"/>
      <c r="F192" s="16"/>
      <c r="G192" s="13"/>
      <c r="H192" s="13"/>
      <c r="I192" s="13"/>
      <c r="J192" s="13"/>
      <c r="K192" s="13"/>
      <c r="L192" s="13"/>
      <c r="M192" s="13"/>
      <c r="N192" s="14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35">
      <c r="A193" s="13"/>
      <c r="B193" s="13"/>
      <c r="C193" s="14"/>
      <c r="D193" s="13"/>
      <c r="E193" s="15"/>
      <c r="F193" s="16"/>
      <c r="G193" s="13"/>
      <c r="H193" s="13"/>
      <c r="I193" s="13"/>
      <c r="J193" s="13"/>
      <c r="K193" s="13"/>
      <c r="L193" s="13"/>
      <c r="M193" s="13"/>
      <c r="N193" s="14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35">
      <c r="A194" s="13"/>
      <c r="B194" s="13"/>
      <c r="C194" s="14"/>
      <c r="D194" s="13"/>
      <c r="E194" s="15"/>
      <c r="F194" s="16"/>
      <c r="G194" s="13"/>
      <c r="H194" s="13"/>
      <c r="I194" s="13"/>
      <c r="J194" s="13"/>
      <c r="K194" s="13"/>
      <c r="L194" s="13"/>
      <c r="M194" s="13"/>
      <c r="N194" s="14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35">
      <c r="A195" s="13"/>
      <c r="B195" s="13"/>
      <c r="C195" s="14"/>
      <c r="D195" s="13"/>
      <c r="E195" s="15"/>
      <c r="F195" s="16"/>
      <c r="G195" s="13"/>
      <c r="H195" s="13"/>
      <c r="I195" s="13"/>
      <c r="J195" s="13"/>
      <c r="K195" s="13"/>
      <c r="L195" s="13"/>
      <c r="M195" s="13"/>
      <c r="N195" s="14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35">
      <c r="A196" s="13"/>
      <c r="B196" s="13"/>
      <c r="C196" s="14"/>
      <c r="D196" s="13"/>
      <c r="E196" s="15"/>
      <c r="F196" s="16"/>
      <c r="G196" s="13"/>
      <c r="H196" s="13"/>
      <c r="I196" s="13"/>
      <c r="J196" s="13"/>
      <c r="K196" s="13"/>
      <c r="L196" s="13"/>
      <c r="M196" s="13"/>
      <c r="N196" s="14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35">
      <c r="A197" s="13"/>
      <c r="B197" s="13"/>
      <c r="C197" s="14"/>
      <c r="D197" s="13"/>
      <c r="E197" s="15"/>
      <c r="F197" s="16"/>
      <c r="G197" s="13"/>
      <c r="H197" s="13"/>
      <c r="I197" s="13"/>
      <c r="J197" s="13"/>
      <c r="K197" s="13"/>
      <c r="L197" s="13"/>
      <c r="M197" s="13"/>
      <c r="N197" s="14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35">
      <c r="A198" s="13"/>
      <c r="B198" s="13"/>
      <c r="C198" s="14"/>
      <c r="D198" s="13"/>
      <c r="E198" s="15"/>
      <c r="F198" s="16"/>
      <c r="G198" s="13"/>
      <c r="H198" s="13"/>
      <c r="I198" s="13"/>
      <c r="J198" s="13"/>
      <c r="K198" s="13"/>
      <c r="L198" s="13"/>
      <c r="M198" s="13"/>
      <c r="N198" s="14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35">
      <c r="A199" s="13"/>
      <c r="B199" s="13"/>
      <c r="C199" s="14"/>
      <c r="D199" s="13"/>
      <c r="E199" s="15"/>
      <c r="F199" s="16"/>
      <c r="G199" s="13"/>
      <c r="H199" s="13"/>
      <c r="I199" s="13"/>
      <c r="J199" s="13"/>
      <c r="K199" s="13"/>
      <c r="L199" s="13"/>
      <c r="M199" s="13"/>
      <c r="N199" s="14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35">
      <c r="A200" s="13"/>
      <c r="B200" s="13"/>
      <c r="C200" s="14"/>
      <c r="D200" s="13"/>
      <c r="E200" s="15"/>
      <c r="F200" s="16"/>
      <c r="G200" s="13"/>
      <c r="H200" s="13"/>
      <c r="I200" s="13"/>
      <c r="J200" s="13"/>
      <c r="K200" s="13"/>
      <c r="L200" s="13"/>
      <c r="M200" s="13"/>
      <c r="N200" s="14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35">
      <c r="A201" s="13"/>
      <c r="B201" s="13"/>
      <c r="C201" s="14"/>
      <c r="D201" s="13"/>
      <c r="E201" s="15"/>
      <c r="F201" s="16"/>
      <c r="G201" s="13"/>
      <c r="H201" s="13"/>
      <c r="I201" s="13"/>
      <c r="J201" s="13"/>
      <c r="K201" s="13"/>
      <c r="L201" s="13"/>
      <c r="M201" s="13"/>
      <c r="N201" s="14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35">
      <c r="A202" s="13"/>
      <c r="B202" s="13"/>
      <c r="C202" s="14"/>
      <c r="D202" s="13"/>
      <c r="E202" s="15"/>
      <c r="F202" s="16"/>
      <c r="G202" s="13"/>
      <c r="H202" s="13"/>
      <c r="I202" s="13"/>
      <c r="J202" s="13"/>
      <c r="K202" s="13"/>
      <c r="L202" s="13"/>
      <c r="M202" s="13"/>
      <c r="N202" s="14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35">
      <c r="A203" s="13"/>
      <c r="B203" s="13"/>
      <c r="C203" s="14"/>
      <c r="D203" s="13"/>
      <c r="E203" s="15"/>
      <c r="F203" s="16"/>
      <c r="G203" s="13"/>
      <c r="H203" s="13"/>
      <c r="I203" s="13"/>
      <c r="J203" s="13"/>
      <c r="K203" s="13"/>
      <c r="L203" s="13"/>
      <c r="M203" s="13"/>
      <c r="N203" s="14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35">
      <c r="A204" s="13"/>
      <c r="B204" s="13"/>
      <c r="C204" s="14"/>
      <c r="D204" s="13"/>
      <c r="E204" s="15"/>
      <c r="F204" s="16"/>
      <c r="G204" s="13"/>
      <c r="H204" s="13"/>
      <c r="I204" s="13"/>
      <c r="J204" s="13"/>
      <c r="K204" s="13"/>
      <c r="L204" s="13"/>
      <c r="M204" s="13"/>
      <c r="N204" s="14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35">
      <c r="A205" s="13"/>
      <c r="B205" s="13"/>
      <c r="C205" s="14"/>
      <c r="D205" s="13"/>
      <c r="E205" s="15"/>
      <c r="F205" s="16"/>
      <c r="G205" s="13"/>
      <c r="H205" s="13"/>
      <c r="I205" s="13"/>
      <c r="J205" s="13"/>
      <c r="K205" s="13"/>
      <c r="L205" s="13"/>
      <c r="M205" s="13"/>
      <c r="N205" s="14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35">
      <c r="A206" s="13"/>
      <c r="B206" s="13"/>
      <c r="C206" s="14"/>
      <c r="D206" s="13"/>
      <c r="E206" s="15"/>
      <c r="F206" s="16"/>
      <c r="G206" s="13"/>
      <c r="H206" s="13"/>
      <c r="I206" s="13"/>
      <c r="J206" s="13"/>
      <c r="K206" s="13"/>
      <c r="L206" s="13"/>
      <c r="M206" s="13"/>
      <c r="N206" s="14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35">
      <c r="A207" s="13"/>
      <c r="B207" s="13"/>
      <c r="C207" s="14"/>
      <c r="D207" s="13"/>
      <c r="E207" s="15"/>
      <c r="F207" s="16"/>
      <c r="G207" s="13"/>
      <c r="H207" s="13"/>
      <c r="I207" s="13"/>
      <c r="J207" s="13"/>
      <c r="K207" s="13"/>
      <c r="L207" s="13"/>
      <c r="M207" s="13"/>
      <c r="N207" s="14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35">
      <c r="A208" s="13"/>
      <c r="B208" s="13"/>
      <c r="C208" s="14"/>
      <c r="D208" s="13"/>
      <c r="E208" s="15"/>
      <c r="F208" s="16"/>
      <c r="G208" s="13"/>
      <c r="H208" s="13"/>
      <c r="I208" s="13"/>
      <c r="J208" s="13"/>
      <c r="K208" s="13"/>
      <c r="L208" s="13"/>
      <c r="M208" s="13"/>
      <c r="N208" s="14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35">
      <c r="A209" s="13"/>
      <c r="B209" s="13"/>
      <c r="C209" s="14"/>
      <c r="D209" s="13"/>
      <c r="E209" s="15"/>
      <c r="F209" s="16"/>
      <c r="G209" s="13"/>
      <c r="H209" s="13"/>
      <c r="I209" s="13"/>
      <c r="J209" s="13"/>
      <c r="K209" s="13"/>
      <c r="L209" s="13"/>
      <c r="M209" s="13"/>
      <c r="N209" s="14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35">
      <c r="A210" s="13"/>
      <c r="B210" s="13"/>
      <c r="C210" s="14"/>
      <c r="D210" s="13"/>
      <c r="E210" s="15"/>
      <c r="F210" s="16"/>
      <c r="G210" s="13"/>
      <c r="H210" s="13"/>
      <c r="I210" s="13"/>
      <c r="J210" s="13"/>
      <c r="K210" s="13"/>
      <c r="L210" s="13"/>
      <c r="M210" s="13"/>
      <c r="N210" s="14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35">
      <c r="A211" s="13"/>
      <c r="B211" s="13"/>
      <c r="C211" s="14"/>
      <c r="D211" s="13"/>
      <c r="E211" s="15"/>
      <c r="F211" s="16"/>
      <c r="G211" s="13"/>
      <c r="H211" s="13"/>
      <c r="I211" s="13"/>
      <c r="J211" s="13"/>
      <c r="K211" s="13"/>
      <c r="L211" s="13"/>
      <c r="M211" s="13"/>
      <c r="N211" s="14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35">
      <c r="A212" s="13"/>
      <c r="B212" s="13"/>
      <c r="C212" s="14"/>
      <c r="D212" s="13"/>
      <c r="E212" s="15"/>
      <c r="F212" s="16"/>
      <c r="G212" s="13"/>
      <c r="H212" s="13"/>
      <c r="I212" s="13"/>
      <c r="J212" s="13"/>
      <c r="K212" s="13"/>
      <c r="L212" s="13"/>
      <c r="M212" s="13"/>
      <c r="N212" s="14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35">
      <c r="A213" s="13"/>
      <c r="B213" s="13"/>
      <c r="C213" s="14"/>
      <c r="D213" s="13"/>
      <c r="E213" s="15"/>
      <c r="F213" s="16"/>
      <c r="G213" s="13"/>
      <c r="H213" s="13"/>
      <c r="I213" s="13"/>
      <c r="J213" s="13"/>
      <c r="K213" s="13"/>
      <c r="L213" s="13"/>
      <c r="M213" s="13"/>
      <c r="N213" s="14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35">
      <c r="A214" s="13"/>
      <c r="B214" s="13"/>
      <c r="C214" s="14"/>
      <c r="D214" s="13"/>
      <c r="E214" s="15"/>
      <c r="F214" s="16"/>
      <c r="G214" s="13"/>
      <c r="H214" s="13"/>
      <c r="I214" s="13"/>
      <c r="J214" s="13"/>
      <c r="K214" s="13"/>
      <c r="L214" s="13"/>
      <c r="M214" s="13"/>
      <c r="N214" s="14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35">
      <c r="A215" s="13"/>
      <c r="B215" s="13"/>
      <c r="C215" s="14"/>
      <c r="D215" s="13"/>
      <c r="E215" s="15"/>
      <c r="F215" s="16"/>
      <c r="G215" s="13"/>
      <c r="H215" s="13"/>
      <c r="I215" s="13"/>
      <c r="J215" s="13"/>
      <c r="K215" s="13"/>
      <c r="L215" s="13"/>
      <c r="M215" s="13"/>
      <c r="N215" s="14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35">
      <c r="A216" s="13"/>
      <c r="B216" s="13"/>
      <c r="C216" s="14"/>
      <c r="D216" s="13"/>
      <c r="E216" s="15"/>
      <c r="F216" s="16"/>
      <c r="G216" s="13"/>
      <c r="H216" s="13"/>
      <c r="I216" s="13"/>
      <c r="J216" s="13"/>
      <c r="K216" s="13"/>
      <c r="L216" s="13"/>
      <c r="M216" s="13"/>
      <c r="N216" s="14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35">
      <c r="A217" s="13"/>
      <c r="B217" s="13"/>
      <c r="C217" s="14"/>
      <c r="D217" s="13"/>
      <c r="E217" s="15"/>
      <c r="F217" s="16"/>
      <c r="G217" s="13"/>
      <c r="H217" s="13"/>
      <c r="I217" s="13"/>
      <c r="J217" s="13"/>
      <c r="K217" s="13"/>
      <c r="L217" s="13"/>
      <c r="M217" s="13"/>
      <c r="N217" s="14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35">
      <c r="A218" s="13"/>
      <c r="B218" s="13"/>
      <c r="C218" s="14"/>
      <c r="D218" s="13"/>
      <c r="E218" s="15"/>
      <c r="F218" s="16"/>
      <c r="G218" s="13"/>
      <c r="H218" s="13"/>
      <c r="I218" s="13"/>
      <c r="J218" s="13"/>
      <c r="K218" s="13"/>
      <c r="L218" s="13"/>
      <c r="M218" s="13"/>
      <c r="N218" s="14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35">
      <c r="A219" s="13"/>
      <c r="B219" s="13"/>
      <c r="C219" s="14"/>
      <c r="D219" s="13"/>
      <c r="E219" s="15"/>
      <c r="F219" s="16"/>
      <c r="G219" s="13"/>
      <c r="H219" s="13"/>
      <c r="I219" s="13"/>
      <c r="J219" s="13"/>
      <c r="K219" s="13"/>
      <c r="L219" s="13"/>
      <c r="M219" s="13"/>
      <c r="N219" s="14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35">
      <c r="A220" s="13"/>
      <c r="B220" s="13"/>
      <c r="C220" s="14"/>
      <c r="D220" s="13"/>
      <c r="E220" s="15"/>
      <c r="F220" s="16"/>
      <c r="G220" s="13"/>
      <c r="H220" s="13"/>
      <c r="I220" s="13"/>
      <c r="J220" s="13"/>
      <c r="K220" s="13"/>
      <c r="L220" s="13"/>
      <c r="M220" s="13"/>
      <c r="N220" s="14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35">
      <c r="A221" s="13"/>
      <c r="B221" s="13"/>
      <c r="C221" s="14"/>
      <c r="D221" s="13"/>
      <c r="E221" s="15"/>
      <c r="F221" s="16"/>
      <c r="G221" s="13"/>
      <c r="H221" s="13"/>
      <c r="I221" s="13"/>
      <c r="J221" s="13"/>
      <c r="K221" s="13"/>
      <c r="L221" s="13"/>
      <c r="M221" s="13"/>
      <c r="N221" s="14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35">
      <c r="A222" s="13"/>
      <c r="B222" s="13"/>
      <c r="C222" s="14"/>
      <c r="D222" s="13"/>
      <c r="E222" s="15"/>
      <c r="F222" s="16"/>
      <c r="G222" s="13"/>
      <c r="H222" s="13"/>
      <c r="I222" s="13"/>
      <c r="J222" s="13"/>
      <c r="K222" s="13"/>
      <c r="L222" s="13"/>
      <c r="M222" s="13"/>
      <c r="N222" s="14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35">
      <c r="A223" s="13"/>
      <c r="B223" s="13"/>
      <c r="C223" s="14"/>
      <c r="D223" s="13"/>
      <c r="E223" s="15"/>
      <c r="F223" s="16"/>
      <c r="G223" s="13"/>
      <c r="H223" s="13"/>
      <c r="I223" s="13"/>
      <c r="J223" s="13"/>
      <c r="K223" s="13"/>
      <c r="L223" s="13"/>
      <c r="M223" s="13"/>
      <c r="N223" s="14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35">
      <c r="A224" s="13"/>
      <c r="B224" s="13"/>
      <c r="C224" s="14"/>
      <c r="D224" s="13"/>
      <c r="E224" s="15"/>
      <c r="F224" s="16"/>
      <c r="G224" s="13"/>
      <c r="H224" s="13"/>
      <c r="I224" s="13"/>
      <c r="J224" s="13"/>
      <c r="K224" s="13"/>
      <c r="L224" s="13"/>
      <c r="M224" s="13"/>
      <c r="N224" s="14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35">
      <c r="A225" s="13"/>
      <c r="B225" s="13"/>
      <c r="C225" s="14"/>
      <c r="D225" s="13"/>
      <c r="E225" s="15"/>
      <c r="F225" s="16"/>
      <c r="G225" s="13"/>
      <c r="H225" s="13"/>
      <c r="I225" s="13"/>
      <c r="J225" s="13"/>
      <c r="K225" s="13"/>
      <c r="L225" s="13"/>
      <c r="M225" s="13"/>
      <c r="N225" s="14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35">
      <c r="A226" s="13"/>
      <c r="B226" s="13"/>
      <c r="C226" s="14"/>
      <c r="D226" s="13"/>
      <c r="E226" s="15"/>
      <c r="F226" s="16"/>
      <c r="G226" s="13"/>
      <c r="H226" s="13"/>
      <c r="I226" s="13"/>
      <c r="J226" s="13"/>
      <c r="K226" s="13"/>
      <c r="L226" s="13"/>
      <c r="M226" s="13"/>
      <c r="N226" s="14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35">
      <c r="A227" s="13"/>
      <c r="B227" s="13"/>
      <c r="C227" s="14"/>
      <c r="D227" s="13"/>
      <c r="E227" s="15"/>
      <c r="F227" s="16"/>
      <c r="G227" s="13"/>
      <c r="H227" s="13"/>
      <c r="I227" s="13"/>
      <c r="J227" s="13"/>
      <c r="K227" s="13"/>
      <c r="L227" s="13"/>
      <c r="M227" s="13"/>
      <c r="N227" s="14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35">
      <c r="A228" s="13"/>
      <c r="B228" s="13"/>
      <c r="C228" s="14"/>
      <c r="D228" s="13"/>
      <c r="E228" s="15"/>
      <c r="F228" s="16"/>
      <c r="G228" s="13"/>
      <c r="H228" s="13"/>
      <c r="I228" s="13"/>
      <c r="J228" s="13"/>
      <c r="K228" s="13"/>
      <c r="L228" s="13"/>
      <c r="M228" s="13"/>
      <c r="N228" s="14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35">
      <c r="A229" s="13"/>
      <c r="B229" s="13"/>
      <c r="C229" s="14"/>
      <c r="D229" s="13"/>
      <c r="E229" s="15"/>
      <c r="F229" s="16"/>
      <c r="G229" s="13"/>
      <c r="H229" s="13"/>
      <c r="I229" s="13"/>
      <c r="J229" s="13"/>
      <c r="K229" s="13"/>
      <c r="L229" s="13"/>
      <c r="M229" s="13"/>
      <c r="N229" s="14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35">
      <c r="A230" s="13"/>
      <c r="B230" s="13"/>
      <c r="C230" s="14"/>
      <c r="D230" s="13"/>
      <c r="E230" s="15"/>
      <c r="F230" s="16"/>
      <c r="G230" s="13"/>
      <c r="H230" s="13"/>
      <c r="I230" s="13"/>
      <c r="J230" s="13"/>
      <c r="K230" s="13"/>
      <c r="L230" s="13"/>
      <c r="M230" s="13"/>
      <c r="N230" s="14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35">
      <c r="A231" s="13"/>
      <c r="B231" s="13"/>
      <c r="C231" s="14"/>
      <c r="D231" s="13"/>
      <c r="E231" s="15"/>
      <c r="F231" s="16"/>
      <c r="G231" s="13"/>
      <c r="H231" s="13"/>
      <c r="I231" s="13"/>
      <c r="J231" s="13"/>
      <c r="K231" s="13"/>
      <c r="L231" s="13"/>
      <c r="M231" s="13"/>
      <c r="N231" s="14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35">
      <c r="A232" s="13"/>
      <c r="B232" s="13"/>
      <c r="C232" s="14"/>
      <c r="D232" s="13"/>
      <c r="E232" s="15"/>
      <c r="F232" s="16"/>
      <c r="G232" s="13"/>
      <c r="H232" s="13"/>
      <c r="I232" s="13"/>
      <c r="J232" s="13"/>
      <c r="K232" s="13"/>
      <c r="L232" s="13"/>
      <c r="M232" s="13"/>
      <c r="N232" s="14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35">
      <c r="A233" s="13"/>
      <c r="B233" s="13"/>
      <c r="C233" s="14"/>
      <c r="D233" s="13"/>
      <c r="E233" s="15"/>
      <c r="F233" s="16"/>
      <c r="G233" s="13"/>
      <c r="H233" s="13"/>
      <c r="I233" s="13"/>
      <c r="J233" s="13"/>
      <c r="K233" s="13"/>
      <c r="L233" s="13"/>
      <c r="M233" s="13"/>
      <c r="N233" s="14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35">
      <c r="A234" s="13"/>
      <c r="B234" s="13"/>
      <c r="C234" s="14"/>
      <c r="D234" s="13"/>
      <c r="E234" s="15"/>
      <c r="F234" s="16"/>
      <c r="G234" s="13"/>
      <c r="H234" s="13"/>
      <c r="I234" s="13"/>
      <c r="J234" s="13"/>
      <c r="K234" s="13"/>
      <c r="L234" s="13"/>
      <c r="M234" s="13"/>
      <c r="N234" s="14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35">
      <c r="A235" s="13"/>
      <c r="B235" s="13"/>
      <c r="C235" s="14"/>
      <c r="D235" s="13"/>
      <c r="E235" s="15"/>
      <c r="F235" s="16"/>
      <c r="G235" s="13"/>
      <c r="H235" s="13"/>
      <c r="I235" s="13"/>
      <c r="J235" s="13"/>
      <c r="K235" s="13"/>
      <c r="L235" s="13"/>
      <c r="M235" s="13"/>
      <c r="N235" s="14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35">
      <c r="A236" s="13"/>
      <c r="B236" s="13"/>
      <c r="C236" s="14"/>
      <c r="D236" s="13"/>
      <c r="E236" s="15"/>
      <c r="F236" s="16"/>
      <c r="G236" s="13"/>
      <c r="H236" s="13"/>
      <c r="I236" s="13"/>
      <c r="J236" s="13"/>
      <c r="K236" s="13"/>
      <c r="L236" s="13"/>
      <c r="M236" s="13"/>
      <c r="N236" s="14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35">
      <c r="A237" s="13"/>
      <c r="B237" s="13"/>
      <c r="C237" s="14"/>
      <c r="D237" s="13"/>
      <c r="E237" s="15"/>
      <c r="F237" s="16"/>
      <c r="G237" s="13"/>
      <c r="H237" s="13"/>
      <c r="I237" s="13"/>
      <c r="J237" s="13"/>
      <c r="K237" s="13"/>
      <c r="L237" s="13"/>
      <c r="M237" s="13"/>
      <c r="N237" s="14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35">
      <c r="A238" s="13"/>
      <c r="B238" s="13"/>
      <c r="C238" s="14"/>
      <c r="D238" s="13"/>
      <c r="E238" s="15"/>
      <c r="F238" s="16"/>
      <c r="G238" s="13"/>
      <c r="H238" s="13"/>
      <c r="I238" s="13"/>
      <c r="J238" s="13"/>
      <c r="K238" s="13"/>
      <c r="L238" s="13"/>
      <c r="M238" s="13"/>
      <c r="N238" s="14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35">
      <c r="A239" s="13"/>
      <c r="B239" s="13"/>
      <c r="C239" s="14"/>
      <c r="D239" s="13"/>
      <c r="E239" s="15"/>
      <c r="F239" s="16"/>
      <c r="G239" s="13"/>
      <c r="H239" s="13"/>
      <c r="I239" s="13"/>
      <c r="J239" s="13"/>
      <c r="K239" s="13"/>
      <c r="L239" s="13"/>
      <c r="M239" s="13"/>
      <c r="N239" s="14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35">
      <c r="A240" s="13"/>
      <c r="B240" s="13"/>
      <c r="C240" s="14"/>
      <c r="D240" s="13"/>
      <c r="E240" s="15"/>
      <c r="F240" s="16"/>
      <c r="G240" s="13"/>
      <c r="H240" s="13"/>
      <c r="I240" s="13"/>
      <c r="J240" s="13"/>
      <c r="K240" s="13"/>
      <c r="L240" s="13"/>
      <c r="M240" s="13"/>
      <c r="N240" s="14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35">
      <c r="A241" s="13"/>
      <c r="B241" s="13"/>
      <c r="C241" s="14"/>
      <c r="D241" s="13"/>
      <c r="E241" s="15"/>
      <c r="F241" s="16"/>
      <c r="G241" s="13"/>
      <c r="H241" s="13"/>
      <c r="I241" s="13"/>
      <c r="J241" s="13"/>
      <c r="K241" s="13"/>
      <c r="L241" s="13"/>
      <c r="M241" s="13"/>
      <c r="N241" s="14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35">
      <c r="A242" s="13"/>
      <c r="B242" s="13"/>
      <c r="C242" s="14"/>
      <c r="D242" s="13"/>
      <c r="E242" s="15"/>
      <c r="F242" s="16"/>
      <c r="G242" s="13"/>
      <c r="H242" s="13"/>
      <c r="I242" s="13"/>
      <c r="J242" s="13"/>
      <c r="K242" s="13"/>
      <c r="L242" s="13"/>
      <c r="M242" s="13"/>
      <c r="N242" s="14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35">
      <c r="A243" s="13"/>
      <c r="B243" s="13"/>
      <c r="C243" s="14"/>
      <c r="D243" s="13"/>
      <c r="E243" s="15"/>
      <c r="F243" s="16"/>
      <c r="G243" s="13"/>
      <c r="H243" s="13"/>
      <c r="I243" s="13"/>
      <c r="J243" s="13"/>
      <c r="K243" s="13"/>
      <c r="L243" s="13"/>
      <c r="M243" s="13"/>
      <c r="N243" s="14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35">
      <c r="A244" s="13"/>
      <c r="B244" s="13"/>
      <c r="C244" s="14"/>
      <c r="D244" s="13"/>
      <c r="E244" s="15"/>
      <c r="F244" s="16"/>
      <c r="G244" s="13"/>
      <c r="H244" s="13"/>
      <c r="I244" s="13"/>
      <c r="J244" s="13"/>
      <c r="K244" s="13"/>
      <c r="L244" s="13"/>
      <c r="M244" s="13"/>
      <c r="N244" s="14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35">
      <c r="A245" s="13"/>
      <c r="B245" s="13"/>
      <c r="C245" s="14"/>
      <c r="D245" s="13"/>
      <c r="E245" s="15"/>
      <c r="F245" s="16"/>
      <c r="G245" s="13"/>
      <c r="H245" s="13"/>
      <c r="I245" s="13"/>
      <c r="J245" s="13"/>
      <c r="K245" s="13"/>
      <c r="L245" s="13"/>
      <c r="M245" s="13"/>
      <c r="N245" s="14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35">
      <c r="A246" s="13"/>
      <c r="B246" s="13"/>
      <c r="C246" s="14"/>
      <c r="D246" s="13"/>
      <c r="E246" s="15"/>
      <c r="F246" s="16"/>
      <c r="G246" s="13"/>
      <c r="H246" s="13"/>
      <c r="I246" s="13"/>
      <c r="J246" s="13"/>
      <c r="K246" s="13"/>
      <c r="L246" s="13"/>
      <c r="M246" s="13"/>
      <c r="N246" s="14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35">
      <c r="A247" s="13"/>
      <c r="B247" s="13"/>
      <c r="C247" s="14"/>
      <c r="D247" s="13"/>
      <c r="E247" s="15"/>
      <c r="F247" s="16"/>
      <c r="G247" s="13"/>
      <c r="H247" s="13"/>
      <c r="I247" s="13"/>
      <c r="J247" s="13"/>
      <c r="K247" s="13"/>
      <c r="L247" s="13"/>
      <c r="M247" s="13"/>
      <c r="N247" s="14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35">
      <c r="A248" s="13"/>
      <c r="B248" s="13"/>
      <c r="C248" s="14"/>
      <c r="D248" s="13"/>
      <c r="E248" s="15"/>
      <c r="F248" s="16"/>
      <c r="G248" s="13"/>
      <c r="H248" s="13"/>
      <c r="I248" s="13"/>
      <c r="J248" s="13"/>
      <c r="K248" s="13"/>
      <c r="L248" s="13"/>
      <c r="M248" s="13"/>
      <c r="N248" s="14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35">
      <c r="A249" s="13"/>
      <c r="B249" s="13"/>
      <c r="C249" s="14"/>
      <c r="D249" s="13"/>
      <c r="E249" s="15"/>
      <c r="F249" s="16"/>
      <c r="G249" s="13"/>
      <c r="H249" s="13"/>
      <c r="I249" s="13"/>
      <c r="J249" s="13"/>
      <c r="K249" s="13"/>
      <c r="L249" s="13"/>
      <c r="M249" s="13"/>
      <c r="N249" s="14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35">
      <c r="A250" s="13"/>
      <c r="B250" s="13"/>
      <c r="C250" s="14"/>
      <c r="D250" s="13"/>
      <c r="E250" s="15"/>
      <c r="F250" s="16"/>
      <c r="G250" s="13"/>
      <c r="H250" s="13"/>
      <c r="I250" s="13"/>
      <c r="J250" s="13"/>
      <c r="K250" s="13"/>
      <c r="L250" s="13"/>
      <c r="M250" s="13"/>
      <c r="N250" s="14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35">
      <c r="A251" s="13"/>
      <c r="B251" s="13"/>
      <c r="C251" s="14"/>
      <c r="D251" s="13"/>
      <c r="E251" s="15"/>
      <c r="F251" s="16"/>
      <c r="G251" s="13"/>
      <c r="H251" s="13"/>
      <c r="I251" s="13"/>
      <c r="J251" s="13"/>
      <c r="K251" s="13"/>
      <c r="L251" s="13"/>
      <c r="M251" s="13"/>
      <c r="N251" s="14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35">
      <c r="A252" s="13"/>
      <c r="B252" s="13"/>
      <c r="C252" s="14"/>
      <c r="D252" s="13"/>
      <c r="E252" s="15"/>
      <c r="F252" s="16"/>
      <c r="G252" s="13"/>
      <c r="H252" s="13"/>
      <c r="I252" s="13"/>
      <c r="J252" s="13"/>
      <c r="K252" s="13"/>
      <c r="L252" s="13"/>
      <c r="M252" s="13"/>
      <c r="N252" s="14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35">
      <c r="A253" s="13"/>
      <c r="B253" s="13"/>
      <c r="C253" s="14"/>
      <c r="D253" s="13"/>
      <c r="E253" s="15"/>
      <c r="F253" s="16"/>
      <c r="G253" s="13"/>
      <c r="H253" s="13"/>
      <c r="I253" s="13"/>
      <c r="J253" s="13"/>
      <c r="K253" s="13"/>
      <c r="L253" s="13"/>
      <c r="M253" s="13"/>
      <c r="N253" s="14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35">
      <c r="A254" s="13"/>
      <c r="B254" s="13"/>
      <c r="C254" s="14"/>
      <c r="D254" s="13"/>
      <c r="E254" s="15"/>
      <c r="F254" s="16"/>
      <c r="G254" s="13"/>
      <c r="H254" s="13"/>
      <c r="I254" s="13"/>
      <c r="J254" s="13"/>
      <c r="K254" s="13"/>
      <c r="L254" s="13"/>
      <c r="M254" s="13"/>
      <c r="N254" s="14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35">
      <c r="A255" s="13"/>
      <c r="B255" s="13"/>
      <c r="C255" s="14"/>
      <c r="D255" s="13"/>
      <c r="E255" s="15"/>
      <c r="F255" s="16"/>
      <c r="G255" s="13"/>
      <c r="H255" s="13"/>
      <c r="I255" s="13"/>
      <c r="J255" s="13"/>
      <c r="K255" s="13"/>
      <c r="L255" s="13"/>
      <c r="M255" s="13"/>
      <c r="N255" s="14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35">
      <c r="A256" s="13"/>
      <c r="B256" s="13"/>
      <c r="C256" s="14"/>
      <c r="D256" s="13"/>
      <c r="E256" s="15"/>
      <c r="F256" s="16"/>
      <c r="G256" s="13"/>
      <c r="H256" s="13"/>
      <c r="I256" s="13"/>
      <c r="J256" s="13"/>
      <c r="K256" s="13"/>
      <c r="L256" s="13"/>
      <c r="M256" s="13"/>
      <c r="N256" s="14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35">
      <c r="A257" s="13"/>
      <c r="B257" s="13"/>
      <c r="C257" s="14"/>
      <c r="D257" s="13"/>
      <c r="E257" s="15"/>
      <c r="F257" s="16"/>
      <c r="G257" s="13"/>
      <c r="H257" s="13"/>
      <c r="I257" s="13"/>
      <c r="J257" s="13"/>
      <c r="K257" s="13"/>
      <c r="L257" s="13"/>
      <c r="M257" s="13"/>
      <c r="N257" s="14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35">
      <c r="A258" s="13"/>
      <c r="B258" s="13"/>
      <c r="C258" s="14"/>
      <c r="D258" s="13"/>
      <c r="E258" s="15"/>
      <c r="F258" s="16"/>
      <c r="G258" s="13"/>
      <c r="H258" s="13"/>
      <c r="I258" s="13"/>
      <c r="J258" s="13"/>
      <c r="K258" s="13"/>
      <c r="L258" s="13"/>
      <c r="M258" s="13"/>
      <c r="N258" s="14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35">
      <c r="A259" s="13"/>
      <c r="B259" s="13"/>
      <c r="C259" s="14"/>
      <c r="D259" s="13"/>
      <c r="E259" s="15"/>
      <c r="F259" s="16"/>
      <c r="G259" s="13"/>
      <c r="H259" s="13"/>
      <c r="I259" s="13"/>
      <c r="J259" s="13"/>
      <c r="K259" s="13"/>
      <c r="L259" s="13"/>
      <c r="M259" s="13"/>
      <c r="N259" s="14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35">
      <c r="A260" s="13"/>
      <c r="B260" s="13"/>
      <c r="C260" s="14"/>
      <c r="D260" s="13"/>
      <c r="E260" s="15"/>
      <c r="F260" s="16"/>
      <c r="G260" s="13"/>
      <c r="H260" s="13"/>
      <c r="I260" s="13"/>
      <c r="J260" s="13"/>
      <c r="K260" s="13"/>
      <c r="L260" s="13"/>
      <c r="M260" s="13"/>
      <c r="N260" s="14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35">
      <c r="A261" s="13"/>
      <c r="B261" s="13"/>
      <c r="C261" s="14"/>
      <c r="D261" s="13"/>
      <c r="E261" s="15"/>
      <c r="F261" s="16"/>
      <c r="G261" s="13"/>
      <c r="H261" s="13"/>
      <c r="I261" s="13"/>
      <c r="J261" s="13"/>
      <c r="K261" s="13"/>
      <c r="L261" s="13"/>
      <c r="M261" s="13"/>
      <c r="N261" s="14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35">
      <c r="A262" s="13"/>
      <c r="B262" s="13"/>
      <c r="C262" s="14"/>
      <c r="D262" s="13"/>
      <c r="E262" s="15"/>
      <c r="F262" s="16"/>
      <c r="G262" s="13"/>
      <c r="H262" s="13"/>
      <c r="I262" s="13"/>
      <c r="J262" s="13"/>
      <c r="K262" s="13"/>
      <c r="L262" s="13"/>
      <c r="M262" s="13"/>
      <c r="N262" s="14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35">
      <c r="A263" s="13"/>
      <c r="B263" s="13"/>
      <c r="C263" s="14"/>
      <c r="D263" s="13"/>
      <c r="E263" s="15"/>
      <c r="F263" s="16"/>
      <c r="G263" s="13"/>
      <c r="H263" s="13"/>
      <c r="I263" s="13"/>
      <c r="J263" s="13"/>
      <c r="K263" s="13"/>
      <c r="L263" s="13"/>
      <c r="M263" s="13"/>
      <c r="N263" s="14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35">
      <c r="A264" s="13"/>
      <c r="B264" s="13"/>
      <c r="C264" s="14"/>
      <c r="D264" s="13"/>
      <c r="E264" s="15"/>
      <c r="F264" s="16"/>
      <c r="G264" s="13"/>
      <c r="H264" s="13"/>
      <c r="I264" s="13"/>
      <c r="J264" s="13"/>
      <c r="K264" s="13"/>
      <c r="L264" s="13"/>
      <c r="M264" s="13"/>
      <c r="N264" s="14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35">
      <c r="A265" s="13"/>
      <c r="B265" s="13"/>
      <c r="C265" s="14"/>
      <c r="D265" s="13"/>
      <c r="E265" s="15"/>
      <c r="F265" s="16"/>
      <c r="G265" s="13"/>
      <c r="H265" s="13"/>
      <c r="I265" s="13"/>
      <c r="J265" s="13"/>
      <c r="K265" s="13"/>
      <c r="L265" s="13"/>
      <c r="M265" s="13"/>
      <c r="N265" s="14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35">
      <c r="A266" s="13"/>
      <c r="B266" s="13"/>
      <c r="C266" s="14"/>
      <c r="D266" s="13"/>
      <c r="E266" s="15"/>
      <c r="F266" s="16"/>
      <c r="G266" s="13"/>
      <c r="H266" s="13"/>
      <c r="I266" s="13"/>
      <c r="J266" s="13"/>
      <c r="K266" s="13"/>
      <c r="L266" s="13"/>
      <c r="M266" s="13"/>
      <c r="N266" s="14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35">
      <c r="A267" s="13"/>
      <c r="B267" s="13"/>
      <c r="C267" s="14"/>
      <c r="D267" s="13"/>
      <c r="E267" s="15"/>
      <c r="F267" s="16"/>
      <c r="G267" s="13"/>
      <c r="H267" s="13"/>
      <c r="I267" s="13"/>
      <c r="J267" s="13"/>
      <c r="K267" s="13"/>
      <c r="L267" s="13"/>
      <c r="M267" s="13"/>
      <c r="N267" s="14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35">
      <c r="A268" s="13"/>
      <c r="B268" s="13"/>
      <c r="C268" s="14"/>
      <c r="D268" s="13"/>
      <c r="E268" s="15"/>
      <c r="F268" s="16"/>
      <c r="G268" s="13"/>
      <c r="H268" s="13"/>
      <c r="I268" s="13"/>
      <c r="J268" s="13"/>
      <c r="K268" s="13"/>
      <c r="L268" s="13"/>
      <c r="M268" s="13"/>
      <c r="N268" s="14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35">
      <c r="A269" s="13"/>
      <c r="B269" s="13"/>
      <c r="C269" s="14"/>
      <c r="D269" s="13"/>
      <c r="E269" s="15"/>
      <c r="F269" s="16"/>
      <c r="G269" s="13"/>
      <c r="H269" s="13"/>
      <c r="I269" s="13"/>
      <c r="J269" s="13"/>
      <c r="K269" s="13"/>
      <c r="L269" s="13"/>
      <c r="M269" s="13"/>
      <c r="N269" s="14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35">
      <c r="A270" s="13"/>
      <c r="B270" s="13"/>
      <c r="C270" s="14"/>
      <c r="D270" s="13"/>
      <c r="E270" s="15"/>
      <c r="F270" s="16"/>
      <c r="G270" s="13"/>
      <c r="H270" s="13"/>
      <c r="I270" s="13"/>
      <c r="J270" s="13"/>
      <c r="K270" s="13"/>
      <c r="L270" s="13"/>
      <c r="M270" s="13"/>
      <c r="N270" s="14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35">
      <c r="A271" s="13"/>
      <c r="B271" s="13"/>
      <c r="C271" s="14"/>
      <c r="D271" s="13"/>
      <c r="E271" s="15"/>
      <c r="F271" s="16"/>
      <c r="G271" s="13"/>
      <c r="H271" s="13"/>
      <c r="I271" s="13"/>
      <c r="J271" s="13"/>
      <c r="K271" s="13"/>
      <c r="L271" s="13"/>
      <c r="M271" s="13"/>
      <c r="N271" s="14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35">
      <c r="A272" s="13"/>
      <c r="B272" s="13"/>
      <c r="C272" s="14"/>
      <c r="D272" s="13"/>
      <c r="E272" s="15"/>
      <c r="F272" s="16"/>
      <c r="G272" s="13"/>
      <c r="H272" s="13"/>
      <c r="I272" s="13"/>
      <c r="J272" s="13"/>
      <c r="K272" s="13"/>
      <c r="L272" s="13"/>
      <c r="M272" s="13"/>
      <c r="N272" s="14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35">
      <c r="A273" s="13"/>
      <c r="B273" s="13"/>
      <c r="C273" s="14"/>
      <c r="D273" s="13"/>
      <c r="E273" s="15"/>
      <c r="F273" s="16"/>
      <c r="G273" s="13"/>
      <c r="H273" s="13"/>
      <c r="I273" s="13"/>
      <c r="J273" s="13"/>
      <c r="K273" s="13"/>
      <c r="L273" s="13"/>
      <c r="M273" s="13"/>
      <c r="N273" s="14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35">
      <c r="A274" s="13"/>
      <c r="B274" s="13"/>
      <c r="C274" s="14"/>
      <c r="D274" s="13"/>
      <c r="E274" s="15"/>
      <c r="F274" s="16"/>
      <c r="G274" s="13"/>
      <c r="H274" s="13"/>
      <c r="I274" s="13"/>
      <c r="J274" s="13"/>
      <c r="K274" s="13"/>
      <c r="L274" s="13"/>
      <c r="M274" s="13"/>
      <c r="N274" s="14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35">
      <c r="A275" s="13"/>
      <c r="B275" s="13"/>
      <c r="C275" s="14"/>
      <c r="D275" s="13"/>
      <c r="E275" s="15"/>
      <c r="F275" s="16"/>
      <c r="G275" s="13"/>
      <c r="H275" s="13"/>
      <c r="I275" s="13"/>
      <c r="J275" s="13"/>
      <c r="K275" s="13"/>
      <c r="L275" s="13"/>
      <c r="M275" s="13"/>
      <c r="N275" s="14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</sheetData>
  <mergeCells count="27">
    <mergeCell ref="A10:N10"/>
    <mergeCell ref="I7:I8"/>
    <mergeCell ref="J7:J8"/>
    <mergeCell ref="K7:K8"/>
    <mergeCell ref="L7:L8"/>
    <mergeCell ref="M7:M8"/>
    <mergeCell ref="N7:N8"/>
    <mergeCell ref="M3:N3"/>
    <mergeCell ref="A7:A8"/>
    <mergeCell ref="B7:B8"/>
    <mergeCell ref="C7:C8"/>
    <mergeCell ref="D7:D8"/>
    <mergeCell ref="E7:E8"/>
    <mergeCell ref="F7:F8"/>
    <mergeCell ref="G7:G8"/>
    <mergeCell ref="H7:H8"/>
    <mergeCell ref="A1:A3"/>
    <mergeCell ref="B1:C1"/>
    <mergeCell ref="D1:J1"/>
    <mergeCell ref="K1:L1"/>
    <mergeCell ref="M1:N1"/>
    <mergeCell ref="B2:C2"/>
    <mergeCell ref="D2:J2"/>
    <mergeCell ref="K2:L2"/>
    <mergeCell ref="B3:C3"/>
    <mergeCell ref="D3:J3"/>
    <mergeCell ref="K3:L3"/>
  </mergeCells>
  <printOptions horizontalCentered="1"/>
  <pageMargins left="0.25" right="0.25" top="0.75" bottom="0.75" header="0" footer="0"/>
  <pageSetup paperSize="14" orientation="landscape"/>
  <headerFooter>
    <oddFooter>&amp;LPage &amp;P of 32</oddFooter>
  </headerFooter>
  <rowBreaks count="1" manualBreakCount="1">
    <brk id="9" man="1"/>
  </rowBreaks>
  <colBreaks count="1" manualBreakCount="1">
    <brk id="14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 First Sem SY25-26</vt:lpstr>
      <vt:lpstr>Student</vt:lpstr>
      <vt:lpstr>SCHED OTHER DEPARTSMENTS</vt:lpstr>
      <vt:lpstr>'All First Sem SY25-26'!Print_Area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Willen Mark Manzanas</dc:creator>
  <cp:lastModifiedBy>RAYMART O. VILLENA</cp:lastModifiedBy>
  <cp:lastPrinted>2026-10-23T02:27:51Z</cp:lastPrinted>
  <dcterms:created xsi:type="dcterms:W3CDTF">2022-12-01T08:39:06Z</dcterms:created>
  <dcterms:modified xsi:type="dcterms:W3CDTF">2026-10-23T02:28:03Z</dcterms:modified>
</cp:coreProperties>
</file>